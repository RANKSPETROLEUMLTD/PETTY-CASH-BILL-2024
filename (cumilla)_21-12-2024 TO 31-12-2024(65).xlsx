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2024\1-12-2024 to 30-12-2024\21-12-2024 to 31-12-2024\"/>
    </mc:Choice>
  </mc:AlternateContent>
  <xr:revisionPtr revIDLastSave="0" documentId="13_ncr:1_{AEB17F1D-CB8B-4548-8B4D-B5B5E5F9A824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0" l="1"/>
  <c r="A17" i="19"/>
  <c r="A18" i="19"/>
  <c r="A19" i="19" s="1"/>
  <c r="A20" i="19" s="1"/>
  <c r="A21" i="19" s="1"/>
  <c r="A22" i="19" s="1"/>
  <c r="A16" i="19"/>
  <c r="G25" i="19"/>
  <c r="L30" i="3"/>
  <c r="L31" i="3"/>
  <c r="L32" i="3"/>
  <c r="L33" i="3"/>
  <c r="L34" i="3"/>
  <c r="L35" i="3"/>
  <c r="L36" i="3"/>
  <c r="L37" i="3"/>
  <c r="L38" i="3"/>
  <c r="L39" i="3"/>
  <c r="L26" i="3"/>
  <c r="L27" i="3"/>
  <c r="L28" i="3"/>
  <c r="L29" i="3"/>
  <c r="L16" i="3"/>
  <c r="L17" i="3"/>
  <c r="L18" i="3"/>
  <c r="L19" i="3"/>
  <c r="L20" i="3"/>
  <c r="L21" i="3"/>
  <c r="L22" i="3"/>
  <c r="E4" i="3"/>
  <c r="L15" i="3" l="1"/>
  <c r="L25" i="3"/>
  <c r="L13" i="3"/>
  <c r="L14" i="3"/>
  <c r="L6" i="3"/>
  <c r="L7" i="3"/>
  <c r="L8" i="3"/>
  <c r="L9" i="3" l="1"/>
  <c r="L10" i="3"/>
  <c r="L11" i="3"/>
  <c r="L12" i="3"/>
  <c r="L5" i="3"/>
  <c r="G88" i="18"/>
  <c r="D3" i="7"/>
  <c r="L6" i="20"/>
  <c r="G71" i="18"/>
  <c r="E7" i="20"/>
  <c r="G9" i="18"/>
  <c r="G44" i="18"/>
  <c r="H4" i="3"/>
  <c r="F4" i="3"/>
  <c r="D4" i="3"/>
  <c r="J4" i="3" l="1"/>
  <c r="L62" i="3"/>
  <c r="L63" i="3"/>
  <c r="L64" i="3"/>
  <c r="L65" i="3"/>
  <c r="L66" i="3"/>
  <c r="L67" i="3"/>
  <c r="L68" i="3"/>
  <c r="L69" i="3"/>
  <c r="L70" i="3"/>
  <c r="G29" i="18"/>
  <c r="E19" i="20"/>
  <c r="J4" i="6"/>
  <c r="E4" i="6"/>
  <c r="D4" i="6"/>
  <c r="A7" i="19"/>
  <c r="A8" i="19" s="1"/>
  <c r="A9" i="19" s="1"/>
  <c r="A10" i="19" s="1"/>
  <c r="A11" i="19" s="1"/>
  <c r="A12" i="19" s="1"/>
  <c r="A14" i="19" s="1"/>
  <c r="A15" i="19" s="1"/>
  <c r="H4" i="6"/>
  <c r="G58" i="18" l="1"/>
  <c r="E2" i="10" l="1"/>
  <c r="C13" i="1" s="1"/>
  <c r="O41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F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L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<sst xmlns="http://schemas.openxmlformats.org/spreadsheetml/2006/main" count="889" uniqueCount="263">
  <si>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</si>
  <si>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</si>
  <si>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</si>
  <si>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</si>
  <si>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</si>
  <si>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</si>
  <si>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</si>
  <si>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</si>
  <si>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</si>
  <si>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</si>
  <si>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</si>
  <si>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</si>
  <si>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</si>
  <si>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</si>
  <si>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</si>
  <si>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</si>
  <si>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</si>
  <si>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</si>
  <si>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</si>
  <si>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</si>
  <si>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</si>
  <si>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</si>
  <si>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</si>
  <si>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</si>
  <si>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</si>
  <si>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</si>
  <si>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</si>
  <si>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</si>
  <si>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</si>
  <si>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</si>
  <si>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</si>
  <si>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</si>
  <si>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</si>
  <si>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</si>
  <si>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</si>
  <si>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</si>
  <si>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</si>
  <si>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</si>
  <si>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</si>
  <si>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</si>
  <si>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</si>
  <si>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</si>
  <si>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</si>
  <si>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</si>
  <si>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</si>
  <si>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</si>
  <si>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</si>
  <si>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</si>
  <si>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</si>
  <si>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</si>
  <si>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</si>
  <si>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</si>
  <si>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</si>
  <si>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</si>
  <si>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</si>
  <si>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</si>
  <si>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</si>
  <si>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</si>
  <si>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</si>
  <si>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</si>
  <si>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</si>
  <si>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</si>
  <si>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</si>
  <si>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</si>
  <si>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</si>
  <si>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</si>
  <si>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</si>
  <si>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</si>
  <si>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</si>
  <si>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</si>
  <si>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</si>
  <si>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</si>
  <si>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</si>
  <si>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</si>
  <si>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</si>
  <si>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</si>
  <si>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</si>
  <si>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</si>
  <si>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</si>
  <si>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</si>
  <si>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</si>
  <si>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</si>
  <si>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</si>
  <si>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</si>
  <si>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</si>
  <si>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</si>
  <si>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</si>
  <si>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</si>
  <si>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</si>
  <si>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</si>
  <si>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</si>
  <si>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</si>
  <si>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</si>
  <si>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</si>
  <si>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</si>
  <si>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</si>
  <si>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</si>
  <si>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</si>
  <si>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</si>
  <si>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</si>
  <si>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</si>
  <si>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</si>
  <si>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</si>
  <si>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</si>
  <si>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</si>
  <si>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</si>
  <si>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</si>
  <si>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</si>
  <si>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</si>
  <si>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</si>
  <si>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</si>
  <si>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</si>
  <si>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</si>
  <si>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</si>
  <si>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</si>
  <si>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</si>
  <si>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</si>
  <si>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</si>
  <si>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</si>
  <si>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</si>
  <si>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</si>
  <si>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</si>
  <si>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</si>
  <si>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</si>
  <si>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</si>
  <si>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</si>
  <si>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</si>
  <si>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</si>
  <si>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</si>
  <si>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</si>
  <si>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</si>
  <si>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</si>
  <si>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</si>
  <si>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</si>
  <si>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</si>
  <si>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</si>
  <si>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truck</t>
  </si>
  <si>
    <t>bus,auto,cng</t>
  </si>
  <si>
    <t>auto</t>
  </si>
  <si>
    <t>police fari cumilla</t>
  </si>
  <si>
    <t>b-bariya,tinlack pir,kosba</t>
  </si>
  <si>
    <t>kandirpar</t>
  </si>
  <si>
    <t>_______________</t>
  </si>
  <si>
    <t>shah alam &amp; sohel</t>
  </si>
  <si>
    <t>TOTAL</t>
  </si>
  <si>
    <t>helper</t>
  </si>
  <si>
    <t>bus,auto</t>
  </si>
  <si>
    <t>S</t>
  </si>
  <si>
    <t>Depot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</si>
  <si>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</si>
  <si>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</si>
  <si>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</si>
  <si>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</si>
  <si>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</si>
  <si>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</si>
  <si>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</si>
  <si>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</si>
  <si>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</si>
  <si>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</si>
  <si>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</si>
  <si>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</si>
  <si>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</si>
  <si>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</si>
  <si>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</si>
  <si>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</si>
  <si>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shanto,sohel,arif,shah alam</t>
  </si>
  <si>
    <t>Bill No: Cum/65/December'2024</t>
  </si>
  <si>
    <t>Month:  December-2024</t>
  </si>
  <si>
    <t xml:space="preserve">078377	</t>
  </si>
  <si>
    <t xml:space="preserve">078392	</t>
  </si>
  <si>
    <t>Maa Auto Engineering &amp; Service Center</t>
  </si>
  <si>
    <t>Alam brathers</t>
  </si>
  <si>
    <t>shah alam &amp;sabir</t>
  </si>
  <si>
    <t xml:space="preserve">078329	</t>
  </si>
  <si>
    <t>Sadia honda garage &amp; servicing centre</t>
  </si>
  <si>
    <t xml:space="preserve">078410	</t>
  </si>
  <si>
    <t xml:space="preserve">Fatema Motors	</t>
  </si>
  <si>
    <t>cumilla depot</t>
  </si>
  <si>
    <t>shah alam &amp; sabbir</t>
  </si>
  <si>
    <t xml:space="preserve">078568	</t>
  </si>
  <si>
    <t xml:space="preserve">078567	</t>
  </si>
  <si>
    <t xml:space="preserve">078585	</t>
  </si>
  <si>
    <t>MASUM MOTORS &amp; WORKSHOP</t>
  </si>
  <si>
    <t xml:space="preserve">M/S Ma motors	</t>
  </si>
  <si>
    <t xml:space="preserve">078458	</t>
  </si>
  <si>
    <t xml:space="preserve">	
Sami Sadi Engineering</t>
  </si>
  <si>
    <t xml:space="preserve">078512	</t>
  </si>
  <si>
    <t>Ayesha Auto Mobiles</t>
  </si>
  <si>
    <t xml:space="preserve">078670	</t>
  </si>
  <si>
    <t xml:space="preserve">078639	</t>
  </si>
  <si>
    <t>sohel</t>
  </si>
  <si>
    <t xml:space="preserve">078679	</t>
  </si>
  <si>
    <t xml:space="preserve">078717	</t>
  </si>
  <si>
    <t xml:space="preserve">078336	</t>
  </si>
  <si>
    <t xml:space="preserve">078720	</t>
  </si>
  <si>
    <t xml:space="preserve">078664	</t>
  </si>
  <si>
    <t xml:space="preserve">078718	</t>
  </si>
  <si>
    <t xml:space="preserve">078777	</t>
  </si>
  <si>
    <t xml:space="preserve">078783	</t>
  </si>
  <si>
    <t xml:space="preserve">078785	</t>
  </si>
  <si>
    <t xml:space="preserve">Takiya motors	</t>
  </si>
  <si>
    <t>F Alam Motor</t>
  </si>
  <si>
    <t xml:space="preserve">	
M/S Hamim Motors</t>
  </si>
  <si>
    <t>City Bike Shop &amp; Servicing Center</t>
  </si>
  <si>
    <t xml:space="preserve">	
Mayar Dowa Honda Servicing Center</t>
  </si>
  <si>
    <t xml:space="preserve">Power Moto	</t>
  </si>
  <si>
    <t xml:space="preserve">	
Mamun Motors</t>
  </si>
  <si>
    <t>M/S ISLAM MOTORS</t>
  </si>
  <si>
    <t>sohel &amp; sabbir</t>
  </si>
  <si>
    <t xml:space="preserve">078769	</t>
  </si>
  <si>
    <t>Fatema Motors</t>
  </si>
  <si>
    <t>petty cash bill</t>
  </si>
  <si>
    <t>Beside fair service,Kachua,Stadium market,Sadar,Chandpur.</t>
  </si>
  <si>
    <t>Gowripur Bus stand, daudkandi, comilla</t>
  </si>
  <si>
    <t>Academy Road,Gudam Quater,Feni.</t>
  </si>
  <si>
    <t>west side CNG pump, eliyetgonj, Doudkandi</t>
  </si>
  <si>
    <t>mozumder market, poddar bazar bishoroad</t>
  </si>
  <si>
    <t>Banshgari Steel Bridge, Bancharampur, B-Baria</t>
  </si>
  <si>
    <t>Bilbari,Hajigonj, Chandpu</t>
  </si>
  <si>
    <t>North themoni,Sadar,New bus Tarminal,sadar,aypas road,beside City plaz,Ramgonj,College get,Sonapur,Lakshimpur</t>
  </si>
  <si>
    <t>Mozumder market, foyjoner Nessa mention,poddar bazar bishoroad</t>
  </si>
  <si>
    <t>2 carton jacket</t>
  </si>
  <si>
    <t xml:space="preserve">078852	</t>
  </si>
  <si>
    <t xml:space="preserve">078896	</t>
  </si>
  <si>
    <t xml:space="preserve">Asia Motors	</t>
  </si>
  <si>
    <t xml:space="preserve">	
M/S Ma motors	</t>
  </si>
  <si>
    <t>3 carton jacket</t>
  </si>
  <si>
    <t xml:space="preserve">078912	</t>
  </si>
  <si>
    <t xml:space="preserve">078652	</t>
  </si>
  <si>
    <t xml:space="preserve">078880	</t>
  </si>
  <si>
    <t xml:space="preserve">078887	</t>
  </si>
  <si>
    <t xml:space="preserve">Biker Choice	</t>
  </si>
  <si>
    <t>B K Traders and Motors Prats</t>
  </si>
  <si>
    <t>M A Enterprise</t>
  </si>
  <si>
    <t xml:space="preserve">M A Enterprise	</t>
  </si>
  <si>
    <t>shah alam &amp; tanbir</t>
  </si>
  <si>
    <t xml:space="preserve">	
Jangaliya, cumilla	</t>
  </si>
  <si>
    <t>Mozumder market, poddar bazar bishoroad</t>
  </si>
  <si>
    <t>van</t>
  </si>
  <si>
    <t>kasba, Medda. Sadar,ashuganjb baria	,</t>
  </si>
  <si>
    <t xml:space="preserve">078859	</t>
  </si>
  <si>
    <t xml:space="preserve">078857	</t>
  </si>
  <si>
    <t xml:space="preserve">079024	</t>
  </si>
  <si>
    <t xml:space="preserve">Alam brathers	</t>
  </si>
  <si>
    <t xml:space="preserve">	
Alam brathers	</t>
  </si>
  <si>
    <t>Garda Shield Security Serviece Ltd</t>
  </si>
  <si>
    <t xml:space="preserve">79008	</t>
  </si>
  <si>
    <t>M/S Sahalam Motors</t>
  </si>
  <si>
    <t>um market,Sadar,Chandpur.</t>
  </si>
  <si>
    <t xml:space="preserve"> City plaz,Ramgonj,College get,Sonapur,Lakshimpur</t>
  </si>
  <si>
    <t xml:space="preserve">Jangaliya, cumilla	</t>
  </si>
  <si>
    <t>Day Labour Bill</t>
  </si>
  <si>
    <t>DO Number</t>
  </si>
  <si>
    <t>78377,78392,78329,78458</t>
  </si>
  <si>
    <t>78679,78717,78336,78664,78718,78718,78777,</t>
  </si>
  <si>
    <t>78852,78896</t>
  </si>
  <si>
    <t>78912,78652,78880,7887</t>
  </si>
  <si>
    <t>79008,78859,78857,79024</t>
  </si>
  <si>
    <t>Due to the resignation of an employee, we appoint a temporary day-based helper to ensure the continuity of office work.</t>
  </si>
  <si>
    <t xml:space="preserve"> Labour Bill</t>
  </si>
  <si>
    <t>8957,8958</t>
  </si>
  <si>
    <t>4 person food</t>
  </si>
  <si>
    <t>21.12.2024- 31.12.2024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</si>
</sst>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color rgb="FFFF0000"/>
      <name val="Times New Roman"/>
      <family val="1"/>
    </font>
    <font>
      <sz val="10"/>
      <color rgb="FFFF0000"/>
      <name val="Arial"/>
      <family val="2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6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imes New Roman"/>
      <family val="1"/>
    </font>
    <font>
      <b/>
      <sz val="14"/>
      <name val="Arial"/>
      <family val="2"/>
    </font>
    <font>
      <b/>
      <sz val="14"/>
      <name val="Dasans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5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0" fillId="2" borderId="3" xfId="0" applyFill="1" applyBorder="1"/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3" fillId="2" borderId="3" xfId="0" applyFont="1" applyFill="1" applyBorder="1" applyAlignment="1" applyProtection="1">
      <alignment wrapTex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5" fontId="41" fillId="2" borderId="3" xfId="0" applyNumberFormat="1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/>
    </xf>
    <xf numFmtId="0" fontId="41" fillId="2" borderId="3" xfId="0" applyFont="1" applyFill="1" applyBorder="1" applyAlignment="1">
      <alignment horizontal="center" wrapText="1"/>
    </xf>
    <xf numFmtId="0" fontId="42" fillId="2" borderId="3" xfId="0" applyFont="1" applyFill="1" applyBorder="1" applyAlignment="1" applyProtection="1">
      <alignment horizontal="center" vertical="center" wrapText="1"/>
      <protection locked="0"/>
    </xf>
    <xf numFmtId="0" fontId="43" fillId="2" borderId="3" xfId="0" applyFont="1" applyFill="1" applyBorder="1" applyAlignment="1" applyProtection="1">
      <alignment horizontal="center" vertical="center"/>
      <protection locked="0"/>
    </xf>
    <xf numFmtId="0" fontId="40" fillId="2" borderId="3" xfId="0" applyFont="1" applyFill="1" applyBorder="1"/>
    <xf numFmtId="0" fontId="43" fillId="2" borderId="3" xfId="0" applyFont="1" applyFill="1" applyBorder="1" applyProtection="1">
      <protection locked="0"/>
    </xf>
    <xf numFmtId="165" fontId="44" fillId="2" borderId="3" xfId="0" applyNumberFormat="1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 wrapText="1"/>
    </xf>
    <xf numFmtId="0" fontId="45" fillId="2" borderId="3" xfId="0" applyFont="1" applyFill="1" applyBorder="1" applyAlignment="1" applyProtection="1">
      <alignment horizontal="center" vertical="center" wrapText="1"/>
      <protection locked="0"/>
    </xf>
    <xf numFmtId="0" fontId="46" fillId="2" borderId="3" xfId="0" applyFont="1" applyFill="1" applyBorder="1" applyAlignment="1" applyProtection="1">
      <alignment horizontal="center" vertical="center"/>
      <protection locked="0"/>
    </xf>
    <xf numFmtId="0" fontId="46" fillId="2" borderId="3" xfId="0" applyFont="1" applyFill="1" applyBorder="1" applyProtection="1">
      <protection locked="0"/>
    </xf>
    <xf numFmtId="0" fontId="40" fillId="2" borderId="3" xfId="0" applyFont="1" applyFill="1" applyBorder="1" applyAlignment="1">
      <alignment horizontal="center"/>
    </xf>
    <xf numFmtId="0" fontId="47" fillId="2" borderId="3" xfId="0" applyFont="1" applyFill="1" applyBorder="1" applyAlignment="1" applyProtection="1">
      <alignment horizontal="center" wrapText="1"/>
      <protection locked="0"/>
    </xf>
    <xf numFmtId="0" fontId="47" fillId="2" borderId="3" xfId="0" applyFont="1" applyFill="1" applyBorder="1" applyAlignment="1" applyProtection="1">
      <alignment horizontal="center" vertical="center" wrapText="1"/>
      <protection locked="0"/>
    </xf>
    <xf numFmtId="0" fontId="48" fillId="2" borderId="3" xfId="0" applyFont="1" applyFill="1" applyBorder="1" applyAlignment="1" applyProtection="1">
      <alignment vertical="center"/>
      <protection locked="0"/>
    </xf>
    <xf numFmtId="0" fontId="49" fillId="2" borderId="3" xfId="0" applyFont="1" applyFill="1" applyBorder="1" applyProtection="1">
      <protection locked="0"/>
    </xf>
    <xf numFmtId="0" fontId="48" fillId="2" borderId="3" xfId="0" applyFont="1" applyFill="1" applyBorder="1" applyProtection="1">
      <protection locked="0"/>
    </xf>
    <xf numFmtId="15" fontId="50" fillId="2" borderId="3" xfId="0" applyNumberFormat="1" applyFont="1" applyFill="1" applyBorder="1" applyAlignment="1" applyProtection="1">
      <alignment horizontal="left" wrapText="1"/>
      <protection locked="0"/>
    </xf>
    <xf numFmtId="0" fontId="47" fillId="2" borderId="3" xfId="0" applyFont="1" applyFill="1" applyBorder="1" applyAlignment="1" applyProtection="1">
      <alignment wrapText="1"/>
      <protection locked="0"/>
    </xf>
    <xf numFmtId="0" fontId="48" fillId="2" borderId="3" xfId="0" applyFont="1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>
      <alignment horizontal="center"/>
    </xf>
    <xf numFmtId="0" fontId="5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>
      <alignment horizontal="center" vertical="center" wrapText="1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3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4" fillId="0" borderId="13" xfId="0" applyFont="1" applyBorder="1" applyAlignment="1" applyProtection="1">
      <alignment horizontal="center" wrapText="1"/>
      <protection locked="0"/>
    </xf>
    <xf numFmtId="0" fontId="14" fillId="0" borderId="18" xfId="0" applyFont="1" applyBorder="1" applyAlignment="1" applyProtection="1">
      <alignment horizontal="center" wrapText="1"/>
      <protection locked="0"/>
    </xf>
    <xf numFmtId="0" fontId="35" fillId="0" borderId="13" xfId="0" applyFont="1" applyBorder="1" applyAlignment="1" applyProtection="1">
      <alignment horizontal="center" vertical="center" wrapText="1"/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6" fillId="0" borderId="13" xfId="0" applyFont="1" applyBorder="1" applyAlignment="1" applyProtection="1">
      <alignment horizontal="center" vertical="center" wrapText="1"/>
      <protection locked="0"/>
    </xf>
    <xf numFmtId="0" fontId="36" fillId="0" borderId="18" xfId="0" applyFont="1" applyBorder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54" fillId="2" borderId="3" xfId="0" applyNumberFormat="1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/>
    </xf>
    <xf numFmtId="0" fontId="54" fillId="2" borderId="3" xfId="0" applyFont="1" applyFill="1" applyBorder="1" applyAlignment="1">
      <alignment horizontal="center" wrapText="1"/>
    </xf>
    <xf numFmtId="0" fontId="54" fillId="2" borderId="3" xfId="0" applyFont="1" applyFill="1" applyBorder="1" applyAlignment="1">
      <alignment horizontal="center" vertical="center"/>
    </xf>
    <xf numFmtId="0" fontId="55" fillId="2" borderId="3" xfId="0" applyFont="1" applyFill="1" applyBorder="1" applyAlignment="1" applyProtection="1">
      <alignment horizontal="center" vertical="center"/>
      <protection locked="0"/>
    </xf>
    <xf numFmtId="0" fontId="54" fillId="2" borderId="3" xfId="0" applyFont="1" applyFill="1" applyBorder="1"/>
    <xf numFmtId="165" fontId="54" fillId="9" borderId="3" xfId="0" applyNumberFormat="1" applyFont="1" applyFill="1" applyBorder="1" applyAlignment="1">
      <alignment horizontal="center" vertical="center"/>
    </xf>
    <xf numFmtId="0" fontId="54" fillId="9" borderId="3" xfId="0" applyFont="1" applyFill="1" applyBorder="1" applyAlignment="1">
      <alignment horizontal="center"/>
    </xf>
    <xf numFmtId="0" fontId="54" fillId="9" borderId="3" xfId="0" applyFont="1" applyFill="1" applyBorder="1" applyAlignment="1">
      <alignment horizontal="center" wrapText="1"/>
    </xf>
    <xf numFmtId="0" fontId="54" fillId="9" borderId="13" xfId="0" applyFont="1" applyFill="1" applyBorder="1" applyAlignment="1">
      <alignment horizontal="center" vertical="center"/>
    </xf>
    <xf numFmtId="0" fontId="55" fillId="9" borderId="3" xfId="0" applyFont="1" applyFill="1" applyBorder="1" applyAlignment="1" applyProtection="1">
      <alignment horizontal="center" vertical="center"/>
      <protection locked="0"/>
    </xf>
    <xf numFmtId="0" fontId="54" fillId="9" borderId="3" xfId="0" applyFont="1" applyFill="1" applyBorder="1"/>
    <xf numFmtId="0" fontId="54" fillId="9" borderId="3" xfId="0" applyFont="1" applyFill="1" applyBorder="1" applyAlignment="1">
      <alignment horizontal="center" vertical="center"/>
    </xf>
    <xf numFmtId="0" fontId="56" fillId="9" borderId="3" xfId="0" applyFont="1" applyFill="1" applyBorder="1" applyAlignment="1" applyProtection="1">
      <alignment horizontal="center" vertical="center" wrapText="1"/>
      <protection locked="0"/>
    </xf>
    <xf numFmtId="0" fontId="56" fillId="2" borderId="3" xfId="0" applyFont="1" applyFill="1" applyBorder="1" applyAlignment="1" applyProtection="1">
      <alignment horizontal="center" vertical="center" wrapText="1"/>
      <protection locked="0"/>
    </xf>
    <xf numFmtId="0" fontId="56" fillId="2" borderId="13" xfId="0" applyFont="1" applyFill="1" applyBorder="1" applyAlignment="1" applyProtection="1">
      <alignment horizontal="center" vertical="center" wrapText="1"/>
      <protection locked="0"/>
    </xf>
    <xf numFmtId="0" fontId="55" fillId="2" borderId="13" xfId="0" applyFont="1" applyFill="1" applyBorder="1" applyAlignment="1" applyProtection="1">
      <alignment horizontal="center" vertical="center"/>
      <protection locked="0"/>
    </xf>
    <xf numFmtId="0" fontId="56" fillId="2" borderId="18" xfId="0" applyFont="1" applyFill="1" applyBorder="1" applyAlignment="1" applyProtection="1">
      <alignment horizontal="center" vertical="center" wrapText="1"/>
      <protection locked="0"/>
    </xf>
    <xf numFmtId="0" fontId="55" fillId="2" borderId="18" xfId="0" applyFont="1" applyFill="1" applyBorder="1" applyAlignment="1" applyProtection="1">
      <alignment horizontal="center" vertical="center"/>
      <protection locked="0"/>
    </xf>
    <xf numFmtId="0" fontId="56" fillId="2" borderId="21" xfId="0" applyFont="1" applyFill="1" applyBorder="1" applyAlignment="1" applyProtection="1">
      <alignment horizontal="center" vertical="center" wrapText="1"/>
      <protection locked="0"/>
    </xf>
    <xf numFmtId="0" fontId="55" fillId="2" borderId="21" xfId="0" applyFont="1" applyFill="1" applyBorder="1" applyAlignment="1" applyProtection="1">
      <alignment horizontal="center" vertical="center"/>
      <protection locked="0"/>
    </xf>
    <xf numFmtId="0" fontId="56" fillId="9" borderId="13" xfId="0" applyFont="1" applyFill="1" applyBorder="1" applyAlignment="1" applyProtection="1">
      <alignment horizontal="center" vertical="center" wrapText="1"/>
      <protection locked="0"/>
    </xf>
    <xf numFmtId="0" fontId="56" fillId="9" borderId="18" xfId="0" applyFont="1" applyFill="1" applyBorder="1" applyAlignment="1" applyProtection="1">
      <alignment horizontal="center" vertical="center" wrapText="1"/>
      <protection locked="0"/>
    </xf>
    <xf numFmtId="0" fontId="54" fillId="10" borderId="3" xfId="0" applyFont="1" applyFill="1" applyBorder="1" applyAlignment="1">
      <alignment horizontal="center"/>
    </xf>
    <xf numFmtId="0" fontId="54" fillId="2" borderId="13" xfId="0" applyFont="1" applyFill="1" applyBorder="1" applyAlignment="1">
      <alignment horizontal="center" vertical="center"/>
    </xf>
    <xf numFmtId="0" fontId="54" fillId="2" borderId="21" xfId="0" applyFont="1" applyFill="1" applyBorder="1" applyAlignment="1">
      <alignment horizontal="center" vertical="center"/>
    </xf>
    <xf numFmtId="0" fontId="54" fillId="2" borderId="18" xfId="0" applyFont="1" applyFill="1" applyBorder="1" applyAlignment="1">
      <alignment horizontal="center" vertical="center"/>
    </xf>
    <xf numFmtId="0" fontId="54" fillId="9" borderId="18" xfId="0" applyFont="1" applyFill="1" applyBorder="1" applyAlignment="1">
      <alignment horizontal="center" vertical="center"/>
    </xf>
    <xf numFmtId="0" fontId="54" fillId="9" borderId="13" xfId="0" applyFont="1" applyFill="1" applyBorder="1" applyAlignment="1">
      <alignment horizontal="center"/>
    </xf>
    <xf numFmtId="165" fontId="54" fillId="9" borderId="13" xfId="0" applyNumberFormat="1" applyFont="1" applyFill="1" applyBorder="1" applyAlignment="1">
      <alignment horizontal="center" vertical="center"/>
    </xf>
    <xf numFmtId="165" fontId="54" fillId="2" borderId="13" xfId="0" applyNumberFormat="1" applyFont="1" applyFill="1" applyBorder="1" applyAlignment="1">
      <alignment horizontal="center" vertical="center"/>
    </xf>
    <xf numFmtId="3" fontId="54" fillId="2" borderId="3" xfId="0" applyNumberFormat="1" applyFont="1" applyFill="1" applyBorder="1" applyAlignment="1">
      <alignment horizontal="center"/>
    </xf>
    <xf numFmtId="0" fontId="54" fillId="2" borderId="13" xfId="0" applyFont="1" applyFill="1" applyBorder="1" applyAlignment="1">
      <alignment horizontal="center"/>
    </xf>
    <xf numFmtId="0" fontId="57" fillId="11" borderId="3" xfId="0" applyFont="1" applyFill="1" applyBorder="1" applyAlignment="1">
      <alignment horizontal="center" vertical="top" wrapText="1"/>
    </xf>
    <xf numFmtId="165" fontId="54" fillId="12" borderId="13" xfId="0" applyNumberFormat="1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/>
    </xf>
    <xf numFmtId="0" fontId="54" fillId="2" borderId="13" xfId="0" applyFont="1" applyFill="1" applyBorder="1" applyAlignment="1">
      <alignment horizontal="center" vertical="center" wrapText="1"/>
    </xf>
    <xf numFmtId="0" fontId="54" fillId="2" borderId="21" xfId="0" applyFont="1" applyFill="1" applyBorder="1" applyAlignment="1">
      <alignment horizontal="center"/>
    </xf>
    <xf numFmtId="0" fontId="54" fillId="2" borderId="21" xfId="0" applyFont="1" applyFill="1" applyBorder="1" applyAlignment="1">
      <alignment horizontal="center" vertical="center" wrapText="1"/>
    </xf>
    <xf numFmtId="0" fontId="54" fillId="2" borderId="18" xfId="0" applyFont="1" applyFill="1" applyBorder="1" applyAlignment="1">
      <alignment horizontal="center"/>
    </xf>
    <xf numFmtId="0" fontId="54" fillId="2" borderId="18" xfId="0" applyFont="1" applyFill="1" applyBorder="1" applyAlignment="1">
      <alignment horizontal="center" vertical="center" wrapText="1"/>
    </xf>
    <xf numFmtId="0" fontId="53" fillId="2" borderId="3" xfId="0" applyFont="1" applyFill="1" applyBorder="1" applyAlignment="1">
      <alignment horizontal="center" wrapText="1"/>
    </xf>
    <xf numFmtId="0" fontId="52" fillId="2" borderId="3" xfId="0" applyFont="1" applyFill="1" applyBorder="1" applyAlignment="1">
      <alignment horizontal="center"/>
    </xf>
    <xf numFmtId="0" fontId="54" fillId="10" borderId="3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horizontal="center" wrapText="1"/>
      <protection locked="0"/>
    </xf>
    <xf numFmtId="49" fontId="26" fillId="0" borderId="0" xfId="0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B33" zoomScale="112" zoomScaleNormal="112" zoomScaleSheetLayoutView="112" workbookViewId="0">
      <selection sqref="A1:D44"/>
    </sheetView>
  </sheetViews>
  <sheetFormatPr defaultRowHeight="1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>
      <c r="A1" s="324" t="s">
        <v>0</v>
      </c>
      <c r="B1" s="325"/>
      <c r="C1" s="325"/>
      <c r="D1" s="326"/>
    </row>
    <row r="2" spans="1:4" ht="23.25">
      <c r="A2" s="327" t="s">
        <v>1</v>
      </c>
      <c r="B2" s="328"/>
      <c r="C2" s="140" t="s">
        <v>2</v>
      </c>
      <c r="D2" s="229" t="s">
        <v>262</v>
      </c>
    </row>
    <row r="3" spans="1:4" ht="20.25">
      <c r="A3" s="4" t="s">
        <v>3</v>
      </c>
      <c r="B3" s="7" t="s">
        <v>118</v>
      </c>
      <c r="C3" s="8" t="s">
        <v>167</v>
      </c>
      <c r="D3" s="8" t="s">
        <v>166</v>
      </c>
    </row>
    <row r="4" spans="1:4" ht="33.75" customHeight="1">
      <c r="A4" s="1" t="s">
        <v>4</v>
      </c>
      <c r="B4" s="1" t="s">
        <v>5</v>
      </c>
      <c r="C4" s="2" t="s">
        <v>6</v>
      </c>
      <c r="D4" s="230" t="s">
        <v>5</v>
      </c>
    </row>
    <row r="5" spans="1:4" ht="20.25">
      <c r="A5" s="176">
        <v>1</v>
      </c>
      <c r="B5" s="3" t="s">
        <v>7</v>
      </c>
      <c r="C5" s="177">
        <f>'1. B2B- IPP'!M4</f>
        <v>0</v>
      </c>
      <c r="D5" s="231"/>
    </row>
    <row r="6" spans="1:4" ht="20.25">
      <c r="A6" s="176">
        <v>2</v>
      </c>
      <c r="B6" s="3" t="s">
        <v>8</v>
      </c>
      <c r="C6" s="177">
        <f>'2. B2C'!L4</f>
        <v>33350</v>
      </c>
      <c r="D6" s="231" t="s">
        <v>129</v>
      </c>
    </row>
    <row r="7" spans="1:4" ht="20.25">
      <c r="A7" s="176">
        <v>3</v>
      </c>
      <c r="B7" s="3" t="s">
        <v>9</v>
      </c>
      <c r="C7" s="177">
        <f>'3. B2B-Non Power'!L4</f>
        <v>0</v>
      </c>
      <c r="D7" s="231"/>
    </row>
    <row r="8" spans="1:4" ht="20.25">
      <c r="A8" s="176">
        <v>4</v>
      </c>
      <c r="B8" s="3" t="s">
        <v>10</v>
      </c>
      <c r="C8" s="177">
        <f>'4. Goods Sending Expense'!L4</f>
        <v>0</v>
      </c>
      <c r="D8" s="231"/>
    </row>
    <row r="9" spans="1:4" ht="20.25">
      <c r="A9" s="176">
        <v>5</v>
      </c>
      <c r="B9" s="3" t="s">
        <v>11</v>
      </c>
      <c r="C9" s="177">
        <f>'5. Goods Receiving Expense'!L4</f>
        <v>1090</v>
      </c>
      <c r="D9" s="231" t="s">
        <v>151</v>
      </c>
    </row>
    <row r="10" spans="1:4" ht="20.25">
      <c r="A10" s="176">
        <v>6</v>
      </c>
      <c r="B10" s="3" t="s">
        <v>12</v>
      </c>
      <c r="C10" s="177">
        <f>'6.WH-Depot Maintenance'!D3</f>
        <v>40</v>
      </c>
      <c r="D10" s="231" t="s">
        <v>150</v>
      </c>
    </row>
    <row r="11" spans="1:4" ht="20.25">
      <c r="A11" s="176">
        <v>7</v>
      </c>
      <c r="B11" s="3" t="s">
        <v>13</v>
      </c>
      <c r="C11" s="177">
        <f>'7. Utilities'!F2</f>
        <v>0</v>
      </c>
      <c r="D11" s="231"/>
    </row>
    <row r="12" spans="1:4" ht="20.25">
      <c r="A12" s="176">
        <v>8</v>
      </c>
      <c r="B12" s="3" t="s">
        <v>14</v>
      </c>
      <c r="C12" s="177">
        <f>'8. Printing'!E2</f>
        <v>0</v>
      </c>
      <c r="D12" s="231"/>
    </row>
    <row r="13" spans="1:4" ht="20.25">
      <c r="A13" s="176">
        <v>9</v>
      </c>
      <c r="B13" s="3" t="s">
        <v>15</v>
      </c>
      <c r="C13" s="177">
        <f>'9. Stationary'!E2</f>
        <v>0</v>
      </c>
      <c r="D13" s="231"/>
    </row>
    <row r="14" spans="1:4" ht="20.25">
      <c r="A14" s="176">
        <v>10</v>
      </c>
      <c r="B14" s="3" t="s">
        <v>16</v>
      </c>
      <c r="C14" s="177">
        <f>'10-11.Delivery Van Expense'!D2</f>
        <v>0</v>
      </c>
      <c r="D14" s="231"/>
    </row>
    <row r="15" spans="1:4" ht="20.25">
      <c r="A15" s="176">
        <v>11</v>
      </c>
      <c r="B15" s="3" t="s">
        <v>17</v>
      </c>
      <c r="C15" s="177">
        <f>'10-11.Delivery Van Expense'!D13</f>
        <v>0</v>
      </c>
      <c r="D15" s="231"/>
    </row>
    <row r="16" spans="1:4" ht="20.25">
      <c r="A16" s="176">
        <v>12</v>
      </c>
      <c r="B16" s="3" t="s">
        <v>18</v>
      </c>
      <c r="C16" s="177">
        <f>'12. Entertainment'!D2</f>
        <v>0</v>
      </c>
      <c r="D16" s="231"/>
    </row>
    <row r="17" spans="1:7" ht="20.25">
      <c r="A17" s="176">
        <v>13</v>
      </c>
      <c r="B17" s="3" t="s">
        <v>19</v>
      </c>
      <c r="C17" s="177">
        <f>'13. Food Allowance'!D2</f>
        <v>0</v>
      </c>
      <c r="D17" s="231"/>
    </row>
    <row r="18" spans="1:7" ht="20.25">
      <c r="A18" s="176">
        <v>14</v>
      </c>
      <c r="B18" s="3" t="s">
        <v>20</v>
      </c>
      <c r="C18" s="177">
        <f>'14. Conveyance'!D2</f>
        <v>420</v>
      </c>
      <c r="D18" s="231" t="s">
        <v>21</v>
      </c>
    </row>
    <row r="19" spans="1:7" ht="20.25">
      <c r="A19" s="176">
        <v>15</v>
      </c>
      <c r="B19" s="3" t="s">
        <v>22</v>
      </c>
      <c r="C19" s="177">
        <f>'15. For Security'!D2</f>
        <v>0</v>
      </c>
      <c r="D19" s="232"/>
      <c r="G19" t="s">
        <v>127</v>
      </c>
    </row>
    <row r="20" spans="1:7" ht="20.25">
      <c r="A20" s="176"/>
      <c r="B20" s="4" t="s">
        <v>23</v>
      </c>
      <c r="C20" s="177">
        <f>SUM(C5:C19)</f>
        <v>34900</v>
      </c>
      <c r="D20" s="232"/>
    </row>
    <row r="21" spans="1:7" ht="20.25">
      <c r="A21" s="233"/>
      <c r="B21" s="234"/>
      <c r="C21" s="175"/>
      <c r="D21" s="235"/>
    </row>
    <row r="22" spans="1:7" ht="20.25">
      <c r="A22" s="233"/>
      <c r="B22" s="236"/>
      <c r="C22" s="1" t="s">
        <v>24</v>
      </c>
      <c r="D22" s="2" t="s">
        <v>25</v>
      </c>
    </row>
    <row r="23" spans="1:7" ht="20.25">
      <c r="A23" s="233"/>
      <c r="B23" s="234"/>
      <c r="C23" s="176" t="s">
        <v>26</v>
      </c>
      <c r="D23" s="237">
        <f>'1. B2B- IPP'!D4</f>
        <v>0</v>
      </c>
    </row>
    <row r="24" spans="1:7" ht="20.25">
      <c r="A24" s="233"/>
      <c r="B24" s="234"/>
      <c r="C24" s="176" t="s">
        <v>8</v>
      </c>
      <c r="D24" s="237">
        <f>'2. B2C'!D4</f>
        <v>7845</v>
      </c>
    </row>
    <row r="25" spans="1:7" ht="20.25">
      <c r="A25" s="233"/>
      <c r="B25" s="234"/>
      <c r="C25" s="176" t="s">
        <v>27</v>
      </c>
      <c r="D25" s="237">
        <f>'3. B2B-Non Power'!D4</f>
        <v>0</v>
      </c>
    </row>
    <row r="26" spans="1:7" ht="20.25">
      <c r="A26" s="233"/>
      <c r="B26" s="234"/>
      <c r="C26" s="176" t="s">
        <v>10</v>
      </c>
      <c r="D26" s="237">
        <f>'4. Goods Sending Expense'!D4</f>
        <v>0</v>
      </c>
    </row>
    <row r="27" spans="1:7" ht="20.25">
      <c r="A27" s="233"/>
      <c r="B27" s="234"/>
      <c r="C27" s="176" t="s">
        <v>28</v>
      </c>
      <c r="D27" s="237">
        <f>'5. Goods Receiving Expense'!D4</f>
        <v>9218</v>
      </c>
    </row>
    <row r="28" spans="1:7" ht="20.25">
      <c r="A28" s="233"/>
      <c r="B28" s="234"/>
      <c r="C28" s="1" t="s">
        <v>29</v>
      </c>
      <c r="D28" s="238">
        <f>SUM(D23:D27)</f>
        <v>17063</v>
      </c>
    </row>
    <row r="29" spans="1:7" ht="20.25">
      <c r="A29" s="233"/>
      <c r="B29" s="234"/>
      <c r="C29" s="239"/>
      <c r="D29" s="240"/>
    </row>
    <row r="30" spans="1:7" ht="20.25">
      <c r="A30" s="233"/>
      <c r="B30" s="234"/>
      <c r="C30" s="239"/>
      <c r="D30" s="240"/>
    </row>
    <row r="31" spans="1:7" ht="20.25">
      <c r="A31" s="233"/>
      <c r="B31" s="234"/>
      <c r="C31" s="239"/>
      <c r="D31" s="240"/>
    </row>
    <row r="32" spans="1:7" ht="20.25">
      <c r="A32" s="233"/>
      <c r="B32" s="234"/>
      <c r="C32" s="239"/>
      <c r="D32" s="240"/>
    </row>
    <row r="33" spans="1:6" ht="20.25">
      <c r="A33" s="233"/>
      <c r="B33" s="234"/>
      <c r="C33" s="239"/>
      <c r="D33" s="240"/>
    </row>
    <row r="34" spans="1:6" ht="20.25">
      <c r="A34" s="233"/>
      <c r="B34" s="234"/>
      <c r="C34" s="6"/>
      <c r="D34" s="241"/>
    </row>
    <row r="35" spans="1:6" ht="20.25">
      <c r="A35" s="233"/>
      <c r="B35" s="234"/>
      <c r="C35" s="6"/>
      <c r="D35" s="241"/>
    </row>
    <row r="36" spans="1:6" ht="20.25">
      <c r="A36" s="233"/>
      <c r="B36" s="234"/>
      <c r="C36" s="6"/>
      <c r="D36" s="241"/>
    </row>
    <row r="37" spans="1:6" ht="20.25">
      <c r="A37" s="242" t="s">
        <v>30</v>
      </c>
      <c r="B37" s="5" t="s">
        <v>82</v>
      </c>
      <c r="C37" s="5" t="s">
        <v>31</v>
      </c>
      <c r="D37" s="243" t="s">
        <v>132</v>
      </c>
      <c r="F37" s="6" t="s">
        <v>127</v>
      </c>
    </row>
    <row r="38" spans="1:6" ht="20.25">
      <c r="A38" s="244"/>
      <c r="B38" s="6"/>
      <c r="C38" s="6"/>
      <c r="D38" s="245"/>
    </row>
    <row r="39" spans="1:6" ht="20.25">
      <c r="A39" s="244"/>
      <c r="B39" s="6"/>
      <c r="C39" s="6"/>
      <c r="D39" s="245"/>
    </row>
    <row r="40" spans="1:6" ht="20.25">
      <c r="A40" s="233"/>
      <c r="B40" s="234"/>
      <c r="C40" s="6"/>
      <c r="D40" s="241"/>
    </row>
    <row r="41" spans="1:6" ht="20.25">
      <c r="A41" s="233"/>
      <c r="B41" s="234"/>
      <c r="C41" s="6"/>
      <c r="D41" s="241"/>
    </row>
    <row r="42" spans="1:6" ht="20.25">
      <c r="A42" s="233"/>
      <c r="B42" s="234"/>
      <c r="C42" s="6"/>
      <c r="D42" s="241"/>
    </row>
    <row r="43" spans="1:6" ht="20.25">
      <c r="A43" s="246"/>
      <c r="B43" s="234"/>
      <c r="C43" s="6" t="s">
        <v>142</v>
      </c>
      <c r="D43" s="241"/>
    </row>
    <row r="44" spans="1:6" ht="20.25">
      <c r="A44" s="246" t="s">
        <v>133</v>
      </c>
      <c r="B44" s="247"/>
      <c r="C44" s="247" t="s">
        <v>32</v>
      </c>
      <c r="D44" s="248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>
      <c r="A1" s="9"/>
      <c r="B1" s="9"/>
      <c r="C1" s="329" t="s">
        <v>34</v>
      </c>
      <c r="D1" s="330"/>
      <c r="E1" s="331"/>
      <c r="F1" s="10"/>
      <c r="G1" s="11"/>
      <c r="H1" s="9"/>
      <c r="I1" s="9"/>
      <c r="J1" s="9"/>
      <c r="K1" s="9"/>
      <c r="L1" s="9"/>
      <c r="M1" s="9"/>
    </row>
    <row r="2" spans="1:13">
      <c r="A2" s="9"/>
      <c r="B2" s="9"/>
      <c r="C2" s="9"/>
      <c r="D2" s="9"/>
      <c r="E2" s="9"/>
      <c r="F2" s="9"/>
      <c r="G2" s="11"/>
      <c r="H2" s="332" t="s">
        <v>35</v>
      </c>
      <c r="I2" s="332"/>
      <c r="J2" s="332"/>
      <c r="K2" s="332"/>
      <c r="L2" s="332"/>
      <c r="M2" s="9"/>
    </row>
    <row r="3" spans="1:13" ht="51.75" thickBot="1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3"/>
  <sheetViews>
    <sheetView zoomScale="75" zoomScaleNormal="75" workbookViewId="0">
      <pane xSplit="12" ySplit="4" topLeftCell="M31" activePane="bottomRight" state="frozen"/>
      <selection pane="topRight" activeCell="M1" sqref="M1"/>
      <selection pane="bottomLeft" activeCell="A5" sqref="A5"/>
      <selection pane="bottomRight" activeCell="H5" sqref="H5:H49"/>
    </sheetView>
  </sheetViews>
  <sheetFormatPr defaultRowHeight="15"/>
  <cols>
    <col min="1" max="1" width="24.42578125" style="250" customWidth="1"/>
    <col min="2" max="2" width="18.140625" style="47" customWidth="1"/>
    <col min="3" max="3" width="36.5703125" customWidth="1"/>
    <col min="4" max="4" width="24" customWidth="1"/>
    <col min="5" max="5" width="19.42578125" style="165" customWidth="1"/>
    <col min="6" max="6" width="17.5703125" style="165" customWidth="1"/>
    <col min="7" max="7" width="25" style="114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50" customWidth="1"/>
  </cols>
  <sheetData>
    <row r="1" spans="1:12" s="124" customFormat="1" ht="20.25">
      <c r="A1" s="333" t="s">
        <v>8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  <row r="2" spans="1:12" s="124" customFormat="1" ht="20.25">
      <c r="A2" s="284"/>
      <c r="B2" s="1"/>
      <c r="C2" s="285"/>
      <c r="D2" s="285"/>
      <c r="E2" s="285"/>
      <c r="F2" s="285"/>
      <c r="G2" s="333" t="s">
        <v>35</v>
      </c>
      <c r="H2" s="333"/>
      <c r="I2" s="333"/>
      <c r="J2" s="333"/>
      <c r="K2" s="333"/>
      <c r="L2" s="7"/>
    </row>
    <row r="3" spans="1:12" s="124" customFormat="1" ht="40.5">
      <c r="A3" s="286" t="s">
        <v>36</v>
      </c>
      <c r="B3" s="230" t="s">
        <v>37</v>
      </c>
      <c r="C3" s="230" t="s">
        <v>38</v>
      </c>
      <c r="D3" s="230" t="s">
        <v>39</v>
      </c>
      <c r="E3" s="230" t="s">
        <v>48</v>
      </c>
      <c r="F3" s="230" t="s">
        <v>49</v>
      </c>
      <c r="G3" s="230" t="s">
        <v>115</v>
      </c>
      <c r="H3" s="230" t="s">
        <v>50</v>
      </c>
      <c r="I3" s="230" t="s">
        <v>45</v>
      </c>
      <c r="J3" s="230" t="s">
        <v>46</v>
      </c>
      <c r="K3" s="230" t="s">
        <v>47</v>
      </c>
      <c r="L3" s="8" t="s">
        <v>23</v>
      </c>
    </row>
    <row r="4" spans="1:12" s="124" customFormat="1" ht="20.25">
      <c r="A4" s="287"/>
      <c r="B4" s="288"/>
      <c r="C4" s="288"/>
      <c r="D4" s="288">
        <f>SUM(D5:D115)</f>
        <v>7845</v>
      </c>
      <c r="E4" s="288">
        <f>SUM(E5:E113)</f>
        <v>3060</v>
      </c>
      <c r="F4" s="288">
        <f>SUM(F5:F115)</f>
        <v>29020</v>
      </c>
      <c r="G4" s="288"/>
      <c r="H4" s="288">
        <f>SUM(H5:H115)</f>
        <v>1070</v>
      </c>
      <c r="I4" s="288">
        <f>SUM(I6:I13)</f>
        <v>0</v>
      </c>
      <c r="J4" s="288">
        <f>SUM(J6:J128)</f>
        <v>200</v>
      </c>
      <c r="K4" s="288">
        <f>SUM(K6:K13)</f>
        <v>0</v>
      </c>
      <c r="L4" s="289">
        <f>SUM(E4,F4,H4,I4,J4,)</f>
        <v>33350</v>
      </c>
    </row>
    <row r="5" spans="1:12" s="420" customFormat="1" ht="36.75" customHeight="1">
      <c r="A5" s="417">
        <v>45647</v>
      </c>
      <c r="B5" s="440" t="s">
        <v>168</v>
      </c>
      <c r="C5" s="460" t="s">
        <v>170</v>
      </c>
      <c r="D5" s="440">
        <v>27</v>
      </c>
      <c r="E5" s="441">
        <v>400</v>
      </c>
      <c r="F5" s="441">
        <v>4100</v>
      </c>
      <c r="G5" s="441" t="s">
        <v>172</v>
      </c>
      <c r="H5" s="441"/>
      <c r="L5" s="431">
        <f>SUM(F5:H5)</f>
        <v>4100</v>
      </c>
    </row>
    <row r="6" spans="1:12" s="422" customFormat="1" ht="36.75" customHeight="1">
      <c r="A6" s="417">
        <v>45647</v>
      </c>
      <c r="B6" s="418" t="s">
        <v>169</v>
      </c>
      <c r="C6" s="418" t="s">
        <v>171</v>
      </c>
      <c r="D6" s="418">
        <v>569</v>
      </c>
      <c r="E6" s="442"/>
      <c r="F6" s="442"/>
      <c r="G6" s="442"/>
      <c r="H6" s="443"/>
      <c r="I6" s="421"/>
      <c r="J6" s="421"/>
      <c r="K6" s="421"/>
      <c r="L6" s="431">
        <f t="shared" ref="L6:L8" si="0">SUM(F6:H6)</f>
        <v>0</v>
      </c>
    </row>
    <row r="7" spans="1:12" s="422" customFormat="1" ht="36.75" customHeight="1">
      <c r="A7" s="417">
        <v>45647</v>
      </c>
      <c r="B7" s="418" t="s">
        <v>173</v>
      </c>
      <c r="C7" s="419" t="s">
        <v>174</v>
      </c>
      <c r="D7" s="420">
        <v>13</v>
      </c>
      <c r="E7" s="442"/>
      <c r="F7" s="443"/>
      <c r="G7" s="443"/>
      <c r="H7" s="421"/>
      <c r="I7" s="421"/>
      <c r="J7" s="421"/>
      <c r="K7" s="421"/>
      <c r="L7" s="431">
        <f t="shared" si="0"/>
        <v>0</v>
      </c>
    </row>
    <row r="8" spans="1:12" s="428" customFormat="1" ht="36.75" customHeight="1">
      <c r="A8" s="423">
        <v>45647</v>
      </c>
      <c r="B8" s="424" t="s">
        <v>184</v>
      </c>
      <c r="C8" s="425" t="s">
        <v>185</v>
      </c>
      <c r="D8" s="426">
        <v>161</v>
      </c>
      <c r="E8" s="443"/>
      <c r="F8" s="444">
        <v>650</v>
      </c>
      <c r="G8" s="444" t="s">
        <v>126</v>
      </c>
      <c r="H8" s="427">
        <v>100</v>
      </c>
      <c r="I8" s="427"/>
      <c r="J8" s="427"/>
      <c r="K8" s="427"/>
      <c r="L8" s="431">
        <f t="shared" si="0"/>
        <v>750</v>
      </c>
    </row>
    <row r="9" spans="1:12" s="428" customFormat="1" ht="36.75" customHeight="1">
      <c r="A9" s="423">
        <v>45648</v>
      </c>
      <c r="B9" s="424" t="s">
        <v>175</v>
      </c>
      <c r="C9" s="425" t="s">
        <v>176</v>
      </c>
      <c r="D9" s="445">
        <v>1153</v>
      </c>
      <c r="E9" s="429">
        <v>400</v>
      </c>
      <c r="F9" s="430">
        <v>3800</v>
      </c>
      <c r="G9" s="430" t="s">
        <v>172</v>
      </c>
      <c r="H9" s="427"/>
      <c r="I9" s="427"/>
      <c r="J9" s="427"/>
      <c r="K9" s="427"/>
      <c r="L9" s="430">
        <f t="shared" ref="L9:L22" si="1">SUM(F9:H9)</f>
        <v>3800</v>
      </c>
    </row>
    <row r="10" spans="1:12" s="428" customFormat="1" ht="36.75" customHeight="1">
      <c r="A10" s="446">
        <v>45649</v>
      </c>
      <c r="B10" s="424" t="s">
        <v>179</v>
      </c>
      <c r="C10" s="424" t="s">
        <v>182</v>
      </c>
      <c r="D10" s="424">
        <v>13</v>
      </c>
      <c r="E10" s="430"/>
      <c r="F10" s="430">
        <v>100</v>
      </c>
      <c r="G10" s="430" t="s">
        <v>126</v>
      </c>
      <c r="H10" s="427">
        <v>100</v>
      </c>
      <c r="I10" s="427"/>
      <c r="J10" s="427"/>
      <c r="K10" s="427"/>
      <c r="L10" s="430">
        <f t="shared" si="1"/>
        <v>200</v>
      </c>
    </row>
    <row r="11" spans="1:12" s="422" customFormat="1" ht="36.75" customHeight="1">
      <c r="A11" s="447">
        <v>45649</v>
      </c>
      <c r="B11" s="418" t="s">
        <v>180</v>
      </c>
      <c r="C11" s="418" t="s">
        <v>183</v>
      </c>
      <c r="D11" s="418">
        <v>39</v>
      </c>
      <c r="E11" s="431"/>
      <c r="F11" s="431">
        <v>150</v>
      </c>
      <c r="G11" s="431" t="s">
        <v>126</v>
      </c>
      <c r="H11" s="421">
        <v>30</v>
      </c>
      <c r="I11" s="421"/>
      <c r="J11" s="421"/>
      <c r="K11" s="421"/>
      <c r="L11" s="431">
        <f t="shared" si="1"/>
        <v>180</v>
      </c>
    </row>
    <row r="12" spans="1:12" s="422" customFormat="1" ht="36.75" customHeight="1">
      <c r="A12" s="447">
        <v>45649</v>
      </c>
      <c r="B12" s="418">
        <v>78476</v>
      </c>
      <c r="C12" s="418" t="s">
        <v>176</v>
      </c>
      <c r="D12" s="448">
        <v>4</v>
      </c>
      <c r="E12" s="431"/>
      <c r="F12" s="432">
        <v>180</v>
      </c>
      <c r="G12" s="432" t="s">
        <v>126</v>
      </c>
      <c r="H12" s="433">
        <v>150</v>
      </c>
      <c r="I12" s="421"/>
      <c r="J12" s="421"/>
      <c r="K12" s="421"/>
      <c r="L12" s="431">
        <f t="shared" si="1"/>
        <v>330</v>
      </c>
    </row>
    <row r="13" spans="1:12" s="422" customFormat="1" ht="36.75" customHeight="1">
      <c r="A13" s="447">
        <v>45649</v>
      </c>
      <c r="B13" s="418" t="s">
        <v>181</v>
      </c>
      <c r="C13" s="418" t="s">
        <v>176</v>
      </c>
      <c r="D13" s="449">
        <v>33</v>
      </c>
      <c r="E13" s="431"/>
      <c r="F13" s="434"/>
      <c r="G13" s="434"/>
      <c r="H13" s="435"/>
      <c r="I13" s="421"/>
      <c r="J13" s="421"/>
      <c r="K13" s="421"/>
      <c r="L13" s="431">
        <f t="shared" si="1"/>
        <v>0</v>
      </c>
    </row>
    <row r="14" spans="1:12" s="428" customFormat="1" ht="36.75" customHeight="1">
      <c r="A14" s="446">
        <v>45650</v>
      </c>
      <c r="B14" s="424" t="s">
        <v>186</v>
      </c>
      <c r="C14" s="425" t="s">
        <v>187</v>
      </c>
      <c r="D14" s="429">
        <v>113</v>
      </c>
      <c r="E14" s="430"/>
      <c r="F14" s="430">
        <v>1160</v>
      </c>
      <c r="G14" s="430" t="s">
        <v>126</v>
      </c>
      <c r="H14" s="427">
        <v>220</v>
      </c>
      <c r="I14" s="427"/>
      <c r="J14" s="427"/>
      <c r="K14" s="427"/>
      <c r="L14" s="430">
        <f t="shared" si="1"/>
        <v>1380</v>
      </c>
    </row>
    <row r="15" spans="1:12" s="422" customFormat="1" ht="36.75" customHeight="1">
      <c r="A15" s="447">
        <v>45650</v>
      </c>
      <c r="B15" s="418" t="s">
        <v>188</v>
      </c>
      <c r="C15" s="419" t="s">
        <v>183</v>
      </c>
      <c r="D15" s="418">
        <v>390</v>
      </c>
      <c r="E15" s="431">
        <v>60</v>
      </c>
      <c r="F15" s="431">
        <v>500</v>
      </c>
      <c r="G15" s="431" t="s">
        <v>190</v>
      </c>
      <c r="H15" s="421">
        <v>30</v>
      </c>
      <c r="I15" s="421"/>
      <c r="J15" s="421"/>
      <c r="K15" s="421"/>
      <c r="L15" s="431">
        <f t="shared" si="1"/>
        <v>530</v>
      </c>
    </row>
    <row r="16" spans="1:12" s="428" customFormat="1" ht="36.75" customHeight="1">
      <c r="A16" s="446">
        <v>45652</v>
      </c>
      <c r="B16" s="424" t="s">
        <v>191</v>
      </c>
      <c r="C16" s="425" t="s">
        <v>200</v>
      </c>
      <c r="D16" s="424">
        <v>215</v>
      </c>
      <c r="E16" s="432">
        <v>500</v>
      </c>
      <c r="F16" s="432">
        <v>2200</v>
      </c>
      <c r="G16" s="432" t="s">
        <v>178</v>
      </c>
      <c r="H16" s="433"/>
      <c r="I16" s="427"/>
      <c r="J16" s="427"/>
      <c r="K16" s="427"/>
      <c r="L16" s="430">
        <f t="shared" si="1"/>
        <v>2200</v>
      </c>
    </row>
    <row r="17" spans="1:12" s="422" customFormat="1" ht="36.75" customHeight="1">
      <c r="A17" s="447">
        <v>45652</v>
      </c>
      <c r="B17" s="418" t="s">
        <v>192</v>
      </c>
      <c r="C17" s="419" t="s">
        <v>201</v>
      </c>
      <c r="D17" s="418">
        <v>2</v>
      </c>
      <c r="E17" s="436"/>
      <c r="F17" s="434"/>
      <c r="G17" s="434"/>
      <c r="H17" s="435"/>
      <c r="I17" s="421"/>
      <c r="J17" s="421"/>
      <c r="K17" s="421"/>
      <c r="L17" s="431">
        <f t="shared" si="1"/>
        <v>0</v>
      </c>
    </row>
    <row r="18" spans="1:12" s="422" customFormat="1" ht="36.75" customHeight="1">
      <c r="A18" s="447">
        <v>45652</v>
      </c>
      <c r="B18" s="418" t="s">
        <v>193</v>
      </c>
      <c r="C18" s="419" t="s">
        <v>202</v>
      </c>
      <c r="D18" s="418">
        <v>82</v>
      </c>
      <c r="E18" s="436"/>
      <c r="F18" s="432">
        <v>960</v>
      </c>
      <c r="G18" s="432" t="s">
        <v>126</v>
      </c>
      <c r="H18" s="433">
        <v>280</v>
      </c>
      <c r="I18" s="421"/>
      <c r="J18" s="421"/>
      <c r="K18" s="421"/>
      <c r="L18" s="431">
        <f t="shared" si="1"/>
        <v>1240</v>
      </c>
    </row>
    <row r="19" spans="1:12" s="422" customFormat="1" ht="36.75" customHeight="1">
      <c r="A19" s="447">
        <v>45652</v>
      </c>
      <c r="B19" s="418" t="s">
        <v>194</v>
      </c>
      <c r="C19" s="419" t="s">
        <v>203</v>
      </c>
      <c r="D19" s="418">
        <v>27</v>
      </c>
      <c r="E19" s="436"/>
      <c r="F19" s="436"/>
      <c r="G19" s="436"/>
      <c r="H19" s="437"/>
      <c r="I19" s="421"/>
      <c r="J19" s="421"/>
      <c r="K19" s="421"/>
      <c r="L19" s="431">
        <f t="shared" si="1"/>
        <v>0</v>
      </c>
    </row>
    <row r="20" spans="1:12" s="422" customFormat="1" ht="36.75" customHeight="1">
      <c r="A20" s="447">
        <v>45652</v>
      </c>
      <c r="B20" s="419" t="s">
        <v>195</v>
      </c>
      <c r="C20" s="450" t="s">
        <v>204</v>
      </c>
      <c r="D20" s="418">
        <v>80</v>
      </c>
      <c r="E20" s="436"/>
      <c r="F20" s="436"/>
      <c r="G20" s="436"/>
      <c r="H20" s="437"/>
      <c r="I20" s="421"/>
      <c r="J20" s="421"/>
      <c r="K20" s="421"/>
      <c r="L20" s="431">
        <f t="shared" si="1"/>
        <v>0</v>
      </c>
    </row>
    <row r="21" spans="1:12" s="422" customFormat="1" ht="36.75" customHeight="1">
      <c r="A21" s="447">
        <v>45652</v>
      </c>
      <c r="B21" s="418" t="s">
        <v>196</v>
      </c>
      <c r="C21" s="419" t="s">
        <v>205</v>
      </c>
      <c r="D21" s="418">
        <v>2</v>
      </c>
      <c r="E21" s="436"/>
      <c r="F21" s="434"/>
      <c r="G21" s="434"/>
      <c r="H21" s="435"/>
      <c r="I21" s="421"/>
      <c r="J21" s="421"/>
      <c r="K21" s="421"/>
      <c r="L21" s="431">
        <f t="shared" si="1"/>
        <v>0</v>
      </c>
    </row>
    <row r="22" spans="1:12" s="422" customFormat="1" ht="36.75" customHeight="1">
      <c r="A22" s="447">
        <v>45652</v>
      </c>
      <c r="B22" s="418" t="s">
        <v>197</v>
      </c>
      <c r="C22" s="418" t="s">
        <v>183</v>
      </c>
      <c r="D22" s="418">
        <v>696</v>
      </c>
      <c r="E22" s="436"/>
      <c r="F22" s="432">
        <v>600</v>
      </c>
      <c r="G22" s="432" t="s">
        <v>208</v>
      </c>
      <c r="H22" s="433"/>
      <c r="I22" s="421"/>
      <c r="J22" s="421"/>
      <c r="K22" s="421"/>
      <c r="L22" s="431">
        <f t="shared" si="1"/>
        <v>600</v>
      </c>
    </row>
    <row r="23" spans="1:12" s="422" customFormat="1" ht="36.75" customHeight="1">
      <c r="A23" s="447">
        <v>45652</v>
      </c>
      <c r="B23" s="418" t="s">
        <v>198</v>
      </c>
      <c r="C23" s="419" t="s">
        <v>206</v>
      </c>
      <c r="D23" s="418">
        <v>2</v>
      </c>
      <c r="E23" s="436"/>
      <c r="F23" s="436"/>
      <c r="G23" s="436"/>
      <c r="H23" s="437"/>
      <c r="I23" s="421"/>
      <c r="J23" s="421"/>
      <c r="K23" s="421"/>
      <c r="L23" s="431"/>
    </row>
    <row r="24" spans="1:12" s="422" customFormat="1" ht="36.75" customHeight="1">
      <c r="A24" s="447">
        <v>45652</v>
      </c>
      <c r="B24" s="418" t="s">
        <v>199</v>
      </c>
      <c r="C24" s="419" t="s">
        <v>207</v>
      </c>
      <c r="D24" s="418">
        <v>2</v>
      </c>
      <c r="E24" s="434"/>
      <c r="F24" s="434"/>
      <c r="G24" s="434"/>
      <c r="H24" s="435"/>
      <c r="I24" s="421"/>
      <c r="J24" s="421"/>
      <c r="K24" s="421"/>
      <c r="L24" s="431"/>
    </row>
    <row r="25" spans="1:12" s="428" customFormat="1" ht="36.75" customHeight="1">
      <c r="A25" s="446">
        <v>45653</v>
      </c>
      <c r="B25" s="424" t="s">
        <v>189</v>
      </c>
      <c r="C25" s="425" t="s">
        <v>182</v>
      </c>
      <c r="D25" s="424">
        <v>13</v>
      </c>
      <c r="E25" s="430"/>
      <c r="F25" s="430">
        <v>100</v>
      </c>
      <c r="G25" s="430" t="s">
        <v>126</v>
      </c>
      <c r="H25" s="427">
        <v>100</v>
      </c>
      <c r="I25" s="427"/>
      <c r="J25" s="427"/>
      <c r="K25" s="427"/>
      <c r="L25" s="430">
        <f>SUM(F25:H25)</f>
        <v>200</v>
      </c>
    </row>
    <row r="26" spans="1:12" s="428" customFormat="1" ht="36.75" customHeight="1">
      <c r="A26" s="446">
        <v>45654</v>
      </c>
      <c r="B26" s="424" t="s">
        <v>209</v>
      </c>
      <c r="C26" s="425" t="s">
        <v>210</v>
      </c>
      <c r="D26" s="424">
        <v>1153</v>
      </c>
      <c r="E26" s="430">
        <v>400</v>
      </c>
      <c r="F26" s="430">
        <v>3800</v>
      </c>
      <c r="G26" s="430" t="s">
        <v>172</v>
      </c>
      <c r="H26" s="427"/>
      <c r="I26" s="427"/>
      <c r="J26" s="427"/>
      <c r="K26" s="427"/>
      <c r="L26" s="430">
        <f t="shared" ref="L26:L39" si="2">SUM(F26:H26)</f>
        <v>3800</v>
      </c>
    </row>
    <row r="27" spans="1:12" s="428" customFormat="1" ht="36.75" customHeight="1">
      <c r="A27" s="446">
        <v>45655</v>
      </c>
      <c r="B27" s="424" t="s">
        <v>222</v>
      </c>
      <c r="C27" s="425" t="s">
        <v>224</v>
      </c>
      <c r="D27" s="424">
        <v>26</v>
      </c>
      <c r="E27" s="438">
        <v>400</v>
      </c>
      <c r="F27" s="430">
        <v>120</v>
      </c>
      <c r="G27" s="430" t="s">
        <v>126</v>
      </c>
      <c r="H27" s="427">
        <v>40</v>
      </c>
      <c r="I27" s="427"/>
      <c r="J27" s="427"/>
      <c r="K27" s="427"/>
      <c r="L27" s="430">
        <f t="shared" si="2"/>
        <v>160</v>
      </c>
    </row>
    <row r="28" spans="1:12" s="422" customFormat="1" ht="36.75" customHeight="1">
      <c r="A28" s="447">
        <v>45655</v>
      </c>
      <c r="B28" s="418" t="s">
        <v>223</v>
      </c>
      <c r="C28" s="419" t="s">
        <v>225</v>
      </c>
      <c r="D28" s="418">
        <v>396</v>
      </c>
      <c r="E28" s="439"/>
      <c r="F28" s="431">
        <v>500</v>
      </c>
      <c r="G28" s="431" t="s">
        <v>235</v>
      </c>
      <c r="H28" s="421">
        <v>20</v>
      </c>
      <c r="I28" s="421"/>
      <c r="J28" s="421"/>
      <c r="K28" s="421"/>
      <c r="L28" s="431">
        <f t="shared" si="2"/>
        <v>520</v>
      </c>
    </row>
    <row r="29" spans="1:12" s="428" customFormat="1" ht="36.75" customHeight="1">
      <c r="A29" s="446">
        <v>45656</v>
      </c>
      <c r="B29" s="424" t="s">
        <v>227</v>
      </c>
      <c r="C29" s="425" t="s">
        <v>231</v>
      </c>
      <c r="D29" s="424">
        <v>40</v>
      </c>
      <c r="E29" s="432">
        <v>400</v>
      </c>
      <c r="F29" s="432">
        <v>5100</v>
      </c>
      <c r="G29" s="432" t="s">
        <v>235</v>
      </c>
      <c r="H29" s="433"/>
      <c r="I29" s="427"/>
      <c r="J29" s="433">
        <v>100</v>
      </c>
      <c r="K29" s="427"/>
      <c r="L29" s="430">
        <f t="shared" si="2"/>
        <v>5100</v>
      </c>
    </row>
    <row r="30" spans="1:12" s="422" customFormat="1" ht="36.75" customHeight="1">
      <c r="A30" s="451">
        <v>45656</v>
      </c>
      <c r="B30" s="418" t="s">
        <v>228</v>
      </c>
      <c r="C30" s="419" t="s">
        <v>232</v>
      </c>
      <c r="D30" s="418">
        <v>200</v>
      </c>
      <c r="E30" s="436"/>
      <c r="F30" s="436"/>
      <c r="G30" s="436"/>
      <c r="H30" s="437"/>
      <c r="I30" s="421"/>
      <c r="J30" s="437"/>
      <c r="K30" s="421"/>
      <c r="L30" s="431">
        <f t="shared" si="2"/>
        <v>0</v>
      </c>
    </row>
    <row r="31" spans="1:12" s="422" customFormat="1" ht="36.75" customHeight="1">
      <c r="A31" s="451">
        <v>45656</v>
      </c>
      <c r="B31" s="418" t="s">
        <v>229</v>
      </c>
      <c r="C31" s="418" t="s">
        <v>233</v>
      </c>
      <c r="D31" s="448">
        <v>400</v>
      </c>
      <c r="E31" s="436"/>
      <c r="F31" s="436"/>
      <c r="G31" s="436"/>
      <c r="H31" s="437"/>
      <c r="I31" s="421"/>
      <c r="J31" s="437"/>
      <c r="K31" s="421"/>
      <c r="L31" s="431">
        <f t="shared" si="2"/>
        <v>0</v>
      </c>
    </row>
    <row r="32" spans="1:12" s="422" customFormat="1" ht="36.75" customHeight="1">
      <c r="A32" s="451">
        <v>45656</v>
      </c>
      <c r="B32" s="418" t="s">
        <v>230</v>
      </c>
      <c r="C32" s="418" t="s">
        <v>234</v>
      </c>
      <c r="D32" s="449">
        <v>66</v>
      </c>
      <c r="E32" s="434"/>
      <c r="F32" s="434"/>
      <c r="G32" s="434"/>
      <c r="H32" s="435"/>
      <c r="J32" s="435"/>
      <c r="L32" s="431">
        <f t="shared" si="2"/>
        <v>0</v>
      </c>
    </row>
    <row r="33" spans="1:12" s="418" customFormat="1" ht="36.75" customHeight="1">
      <c r="A33" s="451">
        <v>45657</v>
      </c>
      <c r="B33" s="424" t="s">
        <v>246</v>
      </c>
      <c r="C33" s="425" t="s">
        <v>247</v>
      </c>
      <c r="D33" s="424">
        <v>215</v>
      </c>
      <c r="E33" s="441">
        <v>500</v>
      </c>
      <c r="F33" s="441">
        <v>5000</v>
      </c>
      <c r="G33" s="441" t="s">
        <v>235</v>
      </c>
      <c r="H33" s="452"/>
      <c r="J33" s="453">
        <v>100</v>
      </c>
      <c r="L33" s="431">
        <f t="shared" si="2"/>
        <v>5000</v>
      </c>
    </row>
    <row r="34" spans="1:12" s="418" customFormat="1" ht="36.75" customHeight="1">
      <c r="A34" s="451">
        <v>45657</v>
      </c>
      <c r="B34" s="418" t="s">
        <v>240</v>
      </c>
      <c r="C34" s="419" t="s">
        <v>243</v>
      </c>
      <c r="D34" s="418">
        <v>1640</v>
      </c>
      <c r="E34" s="442"/>
      <c r="F34" s="442"/>
      <c r="G34" s="442"/>
      <c r="H34" s="454"/>
      <c r="J34" s="455"/>
      <c r="L34" s="431">
        <f t="shared" si="2"/>
        <v>0</v>
      </c>
    </row>
    <row r="35" spans="1:12" s="418" customFormat="1" ht="36.75" customHeight="1">
      <c r="A35" s="451">
        <v>45657</v>
      </c>
      <c r="B35" s="418" t="s">
        <v>241</v>
      </c>
      <c r="C35" s="419" t="s">
        <v>244</v>
      </c>
      <c r="D35" s="448">
        <v>50</v>
      </c>
      <c r="E35" s="442"/>
      <c r="F35" s="442"/>
      <c r="G35" s="442"/>
      <c r="H35" s="454"/>
      <c r="J35" s="455"/>
      <c r="L35" s="431">
        <f t="shared" si="2"/>
        <v>0</v>
      </c>
    </row>
    <row r="36" spans="1:12" s="418" customFormat="1" ht="36.75" customHeight="1">
      <c r="A36" s="451">
        <v>45657</v>
      </c>
      <c r="B36" s="418" t="s">
        <v>242</v>
      </c>
      <c r="C36" s="419" t="s">
        <v>245</v>
      </c>
      <c r="D36" s="449">
        <v>23</v>
      </c>
      <c r="E36" s="443"/>
      <c r="F36" s="443"/>
      <c r="G36" s="443"/>
      <c r="H36" s="456"/>
      <c r="J36" s="457"/>
      <c r="L36" s="431">
        <f t="shared" si="2"/>
        <v>0</v>
      </c>
    </row>
    <row r="37" spans="1:12" s="458" customFormat="1" ht="36.75" customHeight="1">
      <c r="L37" s="322">
        <f t="shared" si="2"/>
        <v>0</v>
      </c>
    </row>
    <row r="38" spans="1:12" s="459" customFormat="1" ht="36.75" customHeight="1">
      <c r="L38" s="322">
        <f t="shared" si="2"/>
        <v>0</v>
      </c>
    </row>
    <row r="39" spans="1:12" s="321" customFormat="1" ht="20.25">
      <c r="L39" s="290">
        <f t="shared" si="2"/>
        <v>0</v>
      </c>
    </row>
    <row r="40" spans="1:12" s="321" customFormat="1"/>
    <row r="41" spans="1:12" s="321" customFormat="1"/>
    <row r="42" spans="1:12" s="304" customFormat="1" ht="51.75" customHeight="1">
      <c r="A42" s="299"/>
      <c r="B42" s="300"/>
      <c r="C42" s="301"/>
      <c r="D42" s="300"/>
      <c r="E42" s="302"/>
      <c r="F42" s="302"/>
      <c r="G42" s="302"/>
      <c r="H42" s="303"/>
      <c r="I42" s="305"/>
      <c r="J42" s="305"/>
      <c r="K42" s="305"/>
      <c r="L42" s="302"/>
    </row>
    <row r="43" spans="1:12" s="304" customFormat="1" ht="53.25" customHeight="1">
      <c r="A43" s="299"/>
      <c r="B43" s="300"/>
      <c r="C43" s="301"/>
      <c r="D43" s="300"/>
      <c r="E43" s="302"/>
      <c r="F43" s="302"/>
      <c r="G43" s="302"/>
      <c r="H43" s="303"/>
      <c r="I43" s="305"/>
      <c r="J43" s="305"/>
      <c r="K43" s="305"/>
      <c r="L43" s="302"/>
    </row>
    <row r="44" spans="1:12" s="304" customFormat="1" ht="55.5" customHeight="1">
      <c r="A44" s="306"/>
      <c r="B44" s="307"/>
      <c r="C44" s="308"/>
      <c r="D44" s="307"/>
      <c r="E44" s="309"/>
      <c r="F44" s="309"/>
      <c r="G44" s="309"/>
      <c r="H44" s="310"/>
      <c r="I44" s="311"/>
      <c r="J44" s="311"/>
      <c r="K44" s="311"/>
      <c r="L44" s="309"/>
    </row>
    <row r="45" spans="1:12" s="304" customFormat="1" ht="51.75" customHeight="1">
      <c r="A45" s="306"/>
      <c r="B45" s="307"/>
      <c r="C45" s="308"/>
      <c r="D45" s="307"/>
      <c r="E45" s="309"/>
      <c r="F45" s="309"/>
      <c r="G45" s="309"/>
      <c r="H45" s="310"/>
      <c r="I45" s="311"/>
      <c r="J45" s="311"/>
      <c r="K45" s="311"/>
      <c r="L45" s="309"/>
    </row>
    <row r="46" spans="1:12" s="304" customFormat="1" ht="33" customHeight="1">
      <c r="A46" s="306"/>
      <c r="B46" s="308"/>
      <c r="C46" s="308"/>
      <c r="D46" s="307"/>
      <c r="E46" s="309"/>
      <c r="F46" s="309"/>
      <c r="G46" s="309"/>
      <c r="H46" s="310"/>
      <c r="I46" s="311"/>
      <c r="J46" s="311"/>
      <c r="K46" s="311"/>
      <c r="L46" s="309"/>
    </row>
    <row r="47" spans="1:12" s="304" customFormat="1" ht="70.5" customHeight="1">
      <c r="A47" s="306"/>
      <c r="B47" s="308"/>
      <c r="C47" s="308"/>
      <c r="D47" s="307"/>
      <c r="E47" s="309"/>
      <c r="F47" s="309"/>
      <c r="G47" s="309"/>
      <c r="H47" s="310"/>
      <c r="I47" s="311"/>
      <c r="J47" s="311"/>
      <c r="K47" s="311"/>
      <c r="L47" s="309"/>
    </row>
    <row r="48" spans="1:12" s="304" customFormat="1" ht="18.75">
      <c r="A48" s="306"/>
      <c r="B48" s="312"/>
      <c r="C48" s="312"/>
      <c r="D48" s="313"/>
      <c r="E48" s="314"/>
      <c r="F48" s="314"/>
      <c r="G48" s="314"/>
      <c r="H48" s="315"/>
      <c r="I48" s="316"/>
      <c r="J48" s="317"/>
      <c r="K48" s="317"/>
      <c r="L48" s="309"/>
    </row>
    <row r="49" spans="1:12" s="304" customFormat="1" ht="18">
      <c r="A49" s="318"/>
      <c r="B49" s="313"/>
      <c r="C49" s="319"/>
      <c r="D49" s="313"/>
      <c r="E49" s="314"/>
      <c r="F49" s="314"/>
      <c r="G49" s="314"/>
      <c r="H49" s="315"/>
      <c r="I49" s="316"/>
      <c r="J49" s="317"/>
      <c r="K49" s="317"/>
      <c r="L49" s="309"/>
    </row>
    <row r="50" spans="1:12" s="304" customFormat="1" ht="18">
      <c r="A50" s="318"/>
      <c r="B50" s="313"/>
      <c r="C50" s="319"/>
      <c r="D50" s="313"/>
      <c r="E50" s="314"/>
      <c r="F50" s="314"/>
      <c r="G50" s="314"/>
      <c r="H50" s="315"/>
      <c r="I50" s="316"/>
      <c r="J50" s="317"/>
      <c r="K50" s="317"/>
      <c r="L50" s="309"/>
    </row>
    <row r="51" spans="1:12" s="304" customFormat="1" ht="18">
      <c r="A51" s="318"/>
      <c r="B51" s="313"/>
      <c r="C51" s="319"/>
      <c r="D51" s="313"/>
      <c r="E51" s="314"/>
      <c r="F51" s="314"/>
      <c r="G51" s="314"/>
      <c r="H51" s="315"/>
      <c r="I51" s="316"/>
      <c r="J51" s="317"/>
      <c r="K51" s="317"/>
      <c r="L51" s="309"/>
    </row>
    <row r="52" spans="1:12" s="304" customFormat="1" ht="18">
      <c r="A52" s="318"/>
      <c r="B52" s="313"/>
      <c r="C52" s="319"/>
      <c r="D52" s="313"/>
      <c r="E52" s="314"/>
      <c r="F52" s="314"/>
      <c r="G52" s="314"/>
      <c r="H52" s="315"/>
      <c r="I52" s="316"/>
      <c r="J52" s="317"/>
      <c r="K52" s="317"/>
      <c r="L52" s="309"/>
    </row>
    <row r="53" spans="1:12" s="304" customFormat="1" ht="18">
      <c r="A53" s="318"/>
      <c r="B53" s="313"/>
      <c r="C53" s="319"/>
      <c r="D53" s="313"/>
      <c r="E53" s="314"/>
      <c r="F53" s="314"/>
      <c r="G53" s="314"/>
      <c r="H53" s="320"/>
      <c r="I53" s="316"/>
      <c r="J53" s="317"/>
      <c r="K53" s="317"/>
      <c r="L53" s="309"/>
    </row>
    <row r="54" spans="1:12" s="304" customFormat="1" ht="18">
      <c r="A54" s="318"/>
      <c r="B54" s="313"/>
      <c r="C54" s="319"/>
      <c r="D54" s="313"/>
      <c r="E54" s="314"/>
      <c r="F54" s="314"/>
      <c r="G54" s="314"/>
      <c r="H54" s="315"/>
      <c r="I54" s="316"/>
      <c r="J54" s="317"/>
      <c r="K54" s="317"/>
      <c r="L54" s="309"/>
    </row>
    <row r="55" spans="1:12" s="304" customFormat="1" ht="18">
      <c r="A55" s="318"/>
      <c r="B55" s="313"/>
      <c r="C55" s="319"/>
      <c r="D55" s="313"/>
      <c r="E55" s="314"/>
      <c r="F55" s="314"/>
      <c r="G55" s="314"/>
      <c r="H55" s="320"/>
      <c r="I55" s="316"/>
      <c r="J55" s="317"/>
      <c r="K55" s="317"/>
      <c r="L55" s="309"/>
    </row>
    <row r="56" spans="1:12" s="304" customFormat="1" ht="18">
      <c r="A56" s="318"/>
      <c r="B56" s="313"/>
      <c r="C56" s="319"/>
      <c r="D56" s="313"/>
      <c r="E56" s="314"/>
      <c r="F56" s="314"/>
      <c r="G56" s="314"/>
      <c r="H56" s="315"/>
      <c r="I56" s="316"/>
      <c r="J56" s="317"/>
      <c r="K56" s="317"/>
      <c r="L56" s="309"/>
    </row>
    <row r="57" spans="1:12" s="304" customFormat="1" ht="18">
      <c r="A57" s="318"/>
      <c r="B57" s="313"/>
      <c r="C57" s="319"/>
      <c r="D57" s="313"/>
      <c r="E57" s="314"/>
      <c r="F57" s="314"/>
      <c r="G57" s="314"/>
      <c r="H57" s="315"/>
      <c r="I57" s="316"/>
      <c r="J57" s="317"/>
      <c r="K57" s="317"/>
      <c r="L57" s="309"/>
    </row>
    <row r="58" spans="1:12" s="304" customFormat="1" ht="18">
      <c r="A58" s="318"/>
      <c r="B58" s="313"/>
      <c r="C58" s="319"/>
      <c r="D58" s="313"/>
      <c r="E58" s="314"/>
      <c r="F58" s="314"/>
      <c r="G58" s="314"/>
      <c r="H58" s="315"/>
      <c r="I58" s="316"/>
      <c r="J58" s="317"/>
      <c r="K58" s="317"/>
      <c r="L58" s="309"/>
    </row>
    <row r="59" spans="1:12" s="304" customFormat="1" ht="18">
      <c r="A59" s="318"/>
      <c r="B59" s="313"/>
      <c r="C59" s="319"/>
      <c r="D59" s="313"/>
      <c r="E59" s="314"/>
      <c r="F59" s="314"/>
      <c r="G59" s="314"/>
      <c r="H59" s="315"/>
      <c r="I59" s="316"/>
      <c r="J59" s="317"/>
      <c r="K59" s="317"/>
      <c r="L59" s="309"/>
    </row>
    <row r="60" spans="1:12" s="304" customFormat="1" ht="18">
      <c r="A60" s="318"/>
      <c r="B60" s="313"/>
      <c r="C60" s="319"/>
      <c r="D60" s="313"/>
      <c r="E60" s="314"/>
      <c r="F60" s="314"/>
      <c r="G60" s="314"/>
      <c r="H60" s="320"/>
      <c r="I60" s="316"/>
      <c r="J60" s="317"/>
      <c r="K60" s="317"/>
      <c r="L60" s="309"/>
    </row>
    <row r="61" spans="1:12" s="304" customFormat="1" ht="18">
      <c r="A61" s="318"/>
      <c r="B61" s="313"/>
      <c r="C61" s="319"/>
      <c r="D61" s="313"/>
      <c r="E61" s="314"/>
      <c r="F61" s="314"/>
      <c r="G61" s="314"/>
      <c r="H61" s="315"/>
      <c r="I61" s="316"/>
      <c r="J61" s="317"/>
      <c r="K61" s="317"/>
      <c r="L61" s="309"/>
    </row>
    <row r="62" spans="1:12" s="197" customFormat="1" ht="18">
      <c r="A62" s="263"/>
      <c r="B62" s="273"/>
      <c r="C62" s="278"/>
      <c r="D62" s="273"/>
      <c r="E62" s="274"/>
      <c r="F62" s="274"/>
      <c r="G62" s="274"/>
      <c r="H62" s="275"/>
      <c r="I62" s="276"/>
      <c r="J62" s="277"/>
      <c r="K62" s="277"/>
      <c r="L62" s="265">
        <f t="shared" ref="L62:L70" si="3">SUM(F62+H62)</f>
        <v>0</v>
      </c>
    </row>
    <row r="63" spans="1:12" s="197" customFormat="1" ht="18">
      <c r="A63" s="263"/>
      <c r="B63" s="273"/>
      <c r="C63" s="278"/>
      <c r="D63" s="273"/>
      <c r="E63" s="274"/>
      <c r="F63" s="274"/>
      <c r="G63" s="274"/>
      <c r="H63" s="275"/>
      <c r="I63" s="276"/>
      <c r="J63" s="277"/>
      <c r="K63" s="277"/>
      <c r="L63" s="265">
        <f t="shared" si="3"/>
        <v>0</v>
      </c>
    </row>
    <row r="64" spans="1:12" s="197" customFormat="1" ht="18">
      <c r="A64" s="263"/>
      <c r="B64" s="273"/>
      <c r="C64" s="278"/>
      <c r="D64" s="273"/>
      <c r="E64" s="274"/>
      <c r="F64" s="274"/>
      <c r="G64" s="274"/>
      <c r="H64" s="275"/>
      <c r="I64" s="276"/>
      <c r="J64" s="277"/>
      <c r="K64" s="277"/>
      <c r="L64" s="265">
        <f t="shared" si="3"/>
        <v>0</v>
      </c>
    </row>
    <row r="65" spans="1:12" s="197" customFormat="1" ht="18">
      <c r="A65" s="263"/>
      <c r="B65" s="273"/>
      <c r="C65" s="278"/>
      <c r="D65" s="273"/>
      <c r="E65" s="274"/>
      <c r="F65" s="274"/>
      <c r="G65" s="274"/>
      <c r="H65" s="279"/>
      <c r="I65" s="280"/>
      <c r="J65" s="279"/>
      <c r="K65" s="279"/>
      <c r="L65" s="265">
        <f t="shared" si="3"/>
        <v>0</v>
      </c>
    </row>
    <row r="66" spans="1:12" s="197" customFormat="1" ht="18">
      <c r="A66" s="263"/>
      <c r="B66" s="273"/>
      <c r="C66" s="278"/>
      <c r="D66" s="273"/>
      <c r="E66" s="274"/>
      <c r="F66" s="274"/>
      <c r="G66" s="274"/>
      <c r="H66" s="279"/>
      <c r="I66" s="280"/>
      <c r="J66" s="279"/>
      <c r="K66" s="279"/>
      <c r="L66" s="265">
        <f t="shared" si="3"/>
        <v>0</v>
      </c>
    </row>
    <row r="67" spans="1:12" s="197" customFormat="1" ht="18">
      <c r="A67" s="263"/>
      <c r="B67" s="273"/>
      <c r="C67" s="278"/>
      <c r="D67" s="273"/>
      <c r="E67" s="274"/>
      <c r="F67" s="274"/>
      <c r="G67" s="274"/>
      <c r="H67" s="279"/>
      <c r="I67" s="280"/>
      <c r="J67" s="279"/>
      <c r="K67" s="279"/>
      <c r="L67" s="265">
        <f t="shared" si="3"/>
        <v>0</v>
      </c>
    </row>
    <row r="68" spans="1:12" s="197" customFormat="1" ht="18">
      <c r="A68" s="263"/>
      <c r="B68" s="273"/>
      <c r="C68" s="278"/>
      <c r="D68" s="273"/>
      <c r="E68" s="274"/>
      <c r="F68" s="274"/>
      <c r="G68" s="274"/>
      <c r="H68" s="279"/>
      <c r="I68" s="280"/>
      <c r="J68" s="279"/>
      <c r="K68" s="279"/>
      <c r="L68" s="265">
        <f t="shared" si="3"/>
        <v>0</v>
      </c>
    </row>
    <row r="69" spans="1:12" ht="18">
      <c r="A69" s="267"/>
      <c r="B69" s="268"/>
      <c r="C69" s="269"/>
      <c r="D69" s="268"/>
      <c r="E69" s="270"/>
      <c r="F69" s="270"/>
      <c r="G69" s="270"/>
      <c r="H69" s="271"/>
      <c r="I69" s="272"/>
      <c r="J69" s="271"/>
      <c r="K69" s="271"/>
      <c r="L69" s="265">
        <f t="shared" si="3"/>
        <v>0</v>
      </c>
    </row>
    <row r="70" spans="1:12" ht="18">
      <c r="A70" s="263"/>
      <c r="B70" s="33"/>
      <c r="C70" s="32"/>
      <c r="D70" s="33"/>
      <c r="E70" s="183"/>
      <c r="F70" s="183"/>
      <c r="G70" s="183"/>
      <c r="H70" s="36"/>
      <c r="I70" s="37"/>
      <c r="J70" s="36"/>
      <c r="K70" s="36"/>
      <c r="L70" s="265">
        <f t="shared" si="3"/>
        <v>0</v>
      </c>
    </row>
    <row r="71" spans="1:12" ht="15.75">
      <c r="A71" s="263"/>
      <c r="B71" s="33"/>
      <c r="C71" s="32"/>
      <c r="D71" s="33"/>
      <c r="E71" s="183"/>
      <c r="F71" s="183"/>
      <c r="G71" s="183"/>
      <c r="H71" s="36"/>
      <c r="I71" s="37"/>
      <c r="J71" s="36"/>
      <c r="K71" s="36"/>
      <c r="L71" s="199"/>
    </row>
    <row r="72" spans="1:12" ht="15.75">
      <c r="A72" s="263"/>
      <c r="B72" s="33"/>
      <c r="C72" s="32"/>
      <c r="D72" s="33"/>
      <c r="E72" s="183"/>
      <c r="F72" s="183"/>
      <c r="G72" s="183"/>
      <c r="H72" s="36"/>
      <c r="I72" s="37"/>
      <c r="J72" s="36"/>
      <c r="K72" s="36"/>
      <c r="L72" s="199"/>
    </row>
    <row r="73" spans="1:12" ht="15.75">
      <c r="A73" s="263"/>
      <c r="B73" s="33"/>
      <c r="C73" s="32"/>
      <c r="D73" s="33"/>
      <c r="E73" s="183"/>
      <c r="F73" s="183"/>
      <c r="G73" s="183"/>
      <c r="H73" s="36"/>
      <c r="I73" s="37"/>
      <c r="J73" s="36"/>
      <c r="K73" s="36"/>
      <c r="L73" s="199"/>
    </row>
    <row r="74" spans="1:12" ht="15.75">
      <c r="A74" s="263"/>
      <c r="B74" s="33"/>
      <c r="C74" s="32"/>
      <c r="D74" s="33"/>
      <c r="E74" s="183"/>
      <c r="F74" s="183"/>
      <c r="G74" s="183"/>
      <c r="H74" s="36"/>
      <c r="I74" s="37"/>
      <c r="J74" s="37"/>
      <c r="K74" s="37"/>
      <c r="L74" s="199"/>
    </row>
    <row r="75" spans="1:12" ht="15.75">
      <c r="A75" s="263"/>
      <c r="B75" s="33"/>
      <c r="C75" s="32"/>
      <c r="D75" s="33"/>
      <c r="E75" s="183"/>
      <c r="F75" s="183"/>
      <c r="G75" s="183"/>
      <c r="H75" s="36"/>
      <c r="I75" s="37"/>
      <c r="J75" s="37"/>
      <c r="K75" s="37"/>
      <c r="L75" s="199"/>
    </row>
    <row r="76" spans="1:12" ht="15.75">
      <c r="A76" s="263"/>
      <c r="B76" s="33"/>
      <c r="C76" s="32"/>
      <c r="D76" s="33"/>
      <c r="E76" s="183"/>
      <c r="F76" s="183"/>
      <c r="G76" s="183"/>
      <c r="H76" s="36"/>
      <c r="I76" s="37"/>
      <c r="J76" s="37"/>
      <c r="K76" s="37"/>
      <c r="L76" s="199"/>
    </row>
    <row r="77" spans="1:12" ht="15.75">
      <c r="A77" s="263"/>
      <c r="B77" s="33"/>
      <c r="C77" s="32"/>
      <c r="D77" s="33"/>
      <c r="E77" s="183"/>
      <c r="F77" s="183"/>
      <c r="G77" s="183"/>
      <c r="H77" s="36"/>
      <c r="I77" s="37"/>
      <c r="J77" s="37"/>
      <c r="K77" s="37"/>
      <c r="L77" s="199"/>
    </row>
    <row r="78" spans="1:12" ht="15.75">
      <c r="A78" s="263"/>
      <c r="B78" s="33"/>
      <c r="C78" s="32"/>
      <c r="D78" s="33"/>
      <c r="E78" s="183"/>
      <c r="F78" s="183"/>
      <c r="G78" s="183"/>
      <c r="H78" s="36"/>
      <c r="I78" s="37"/>
      <c r="J78" s="37"/>
      <c r="K78" s="37"/>
      <c r="L78" s="199"/>
    </row>
    <row r="79" spans="1:12" ht="15.75">
      <c r="A79" s="263"/>
      <c r="B79" s="33"/>
      <c r="C79" s="32"/>
      <c r="D79" s="33"/>
      <c r="E79" s="183"/>
      <c r="F79" s="183"/>
      <c r="G79" s="183"/>
      <c r="H79" s="36"/>
      <c r="I79" s="37"/>
      <c r="J79" s="37"/>
      <c r="K79" s="37"/>
      <c r="L79" s="199"/>
    </row>
    <row r="80" spans="1:12" ht="15.75">
      <c r="A80" s="263"/>
      <c r="B80" s="33"/>
      <c r="C80" s="32"/>
      <c r="D80" s="33"/>
      <c r="E80" s="183"/>
      <c r="F80" s="183"/>
      <c r="G80" s="183"/>
      <c r="H80" s="36"/>
      <c r="I80" s="37"/>
      <c r="J80" s="37"/>
      <c r="K80" s="37"/>
      <c r="L80" s="199"/>
    </row>
    <row r="81" spans="1:12" ht="15.75">
      <c r="A81" s="263"/>
      <c r="B81" s="33"/>
      <c r="C81" s="32"/>
      <c r="D81" s="33"/>
      <c r="E81" s="183"/>
      <c r="F81" s="183"/>
      <c r="G81" s="183"/>
      <c r="H81" s="36"/>
      <c r="I81" s="37"/>
      <c r="J81" s="37"/>
      <c r="K81" s="37"/>
      <c r="L81" s="199"/>
    </row>
    <row r="82" spans="1:12" ht="15.75">
      <c r="A82" s="263"/>
      <c r="B82" s="33"/>
      <c r="C82" s="32"/>
      <c r="D82" s="33"/>
      <c r="E82" s="183"/>
      <c r="F82" s="183"/>
      <c r="G82" s="183"/>
      <c r="H82" s="36"/>
      <c r="I82" s="37"/>
      <c r="J82" s="37"/>
      <c r="K82" s="37"/>
      <c r="L82" s="199"/>
    </row>
    <row r="83" spans="1:12" ht="15.75">
      <c r="A83" s="263"/>
      <c r="B83" s="33"/>
      <c r="C83" s="32"/>
      <c r="D83" s="33"/>
      <c r="E83" s="183"/>
      <c r="F83" s="183"/>
      <c r="G83" s="183"/>
      <c r="H83" s="36"/>
      <c r="I83" s="37"/>
      <c r="J83" s="37"/>
      <c r="K83" s="37"/>
      <c r="L83" s="199"/>
    </row>
    <row r="84" spans="1:12" ht="15.75">
      <c r="A84" s="263"/>
      <c r="B84" s="33"/>
      <c r="C84" s="32"/>
      <c r="D84" s="33"/>
      <c r="E84" s="183"/>
      <c r="F84" s="183"/>
      <c r="G84" s="183"/>
      <c r="H84" s="36"/>
      <c r="I84" s="37"/>
      <c r="J84" s="37"/>
      <c r="K84" s="37"/>
      <c r="L84" s="199"/>
    </row>
    <row r="85" spans="1:12" ht="15.75">
      <c r="A85" s="263"/>
      <c r="B85" s="33"/>
      <c r="C85" s="32"/>
      <c r="D85" s="33"/>
      <c r="E85" s="183"/>
      <c r="F85" s="183"/>
      <c r="G85" s="183"/>
      <c r="H85" s="36"/>
      <c r="I85" s="37"/>
      <c r="J85" s="37"/>
      <c r="K85" s="37"/>
      <c r="L85" s="199"/>
    </row>
    <row r="86" spans="1:12" ht="15.75">
      <c r="A86" s="263"/>
      <c r="B86" s="33"/>
      <c r="C86" s="32"/>
      <c r="D86" s="33"/>
      <c r="E86" s="183"/>
      <c r="F86" s="183"/>
      <c r="G86" s="183"/>
      <c r="H86" s="36"/>
      <c r="I86" s="37"/>
      <c r="J86" s="37"/>
      <c r="K86" s="37"/>
      <c r="L86" s="199"/>
    </row>
    <row r="87" spans="1:12" ht="15.75">
      <c r="A87" s="263"/>
      <c r="B87" s="33"/>
      <c r="C87" s="32"/>
      <c r="D87" s="33"/>
      <c r="E87" s="183"/>
      <c r="F87" s="183"/>
      <c r="G87" s="183"/>
      <c r="H87" s="36"/>
      <c r="I87" s="37"/>
      <c r="J87" s="37"/>
      <c r="K87" s="37"/>
      <c r="L87" s="199"/>
    </row>
    <row r="88" spans="1:12" ht="15.75">
      <c r="A88" s="263"/>
      <c r="B88" s="33"/>
      <c r="C88" s="32"/>
      <c r="D88" s="33"/>
      <c r="E88" s="183"/>
      <c r="F88" s="183"/>
      <c r="G88" s="183"/>
      <c r="H88" s="36"/>
      <c r="I88" s="37"/>
      <c r="J88" s="37"/>
      <c r="K88" s="37"/>
      <c r="L88" s="199"/>
    </row>
    <row r="89" spans="1:12" ht="15.75">
      <c r="A89" s="263"/>
      <c r="B89" s="33"/>
      <c r="C89" s="32"/>
      <c r="D89" s="33"/>
      <c r="E89" s="183"/>
      <c r="F89" s="183"/>
      <c r="G89" s="183"/>
      <c r="H89" s="36"/>
      <c r="I89" s="37"/>
      <c r="J89" s="37"/>
      <c r="K89" s="37"/>
      <c r="L89" s="199"/>
    </row>
    <row r="90" spans="1:12" ht="15.75">
      <c r="A90" s="263"/>
      <c r="B90" s="33"/>
      <c r="C90" s="32"/>
      <c r="D90" s="33"/>
      <c r="E90" s="183"/>
      <c r="F90" s="183"/>
      <c r="G90" s="183"/>
      <c r="H90" s="36"/>
      <c r="I90" s="37"/>
      <c r="J90" s="37"/>
      <c r="K90" s="37"/>
      <c r="L90" s="199"/>
    </row>
    <row r="91" spans="1:12" ht="15.75">
      <c r="A91" s="263"/>
      <c r="B91" s="33"/>
      <c r="C91" s="32"/>
      <c r="D91" s="33"/>
      <c r="E91" s="183"/>
      <c r="F91" s="183"/>
      <c r="G91" s="183"/>
      <c r="H91" s="36"/>
      <c r="I91" s="37"/>
      <c r="J91" s="37"/>
      <c r="K91" s="37"/>
      <c r="L91" s="199"/>
    </row>
    <row r="92" spans="1:12" ht="15.75">
      <c r="A92" s="263"/>
      <c r="B92" s="33"/>
      <c r="C92" s="32"/>
      <c r="D92" s="33"/>
      <c r="E92" s="183"/>
      <c r="F92" s="183"/>
      <c r="G92" s="183"/>
      <c r="H92" s="36"/>
      <c r="I92" s="37"/>
      <c r="J92" s="37"/>
      <c r="K92" s="37"/>
      <c r="L92" s="199"/>
    </row>
    <row r="93" spans="1:12" ht="15.75">
      <c r="A93" s="263"/>
      <c r="B93" s="33"/>
      <c r="C93" s="32"/>
      <c r="D93" s="33"/>
      <c r="E93" s="183"/>
      <c r="F93" s="183"/>
      <c r="G93" s="183"/>
      <c r="H93" s="36"/>
      <c r="I93" s="37"/>
      <c r="J93" s="37"/>
      <c r="K93" s="37"/>
      <c r="L93" s="199"/>
    </row>
  </sheetData>
  <autoFilter ref="A3:L4" xr:uid="{00000000-0009-0000-0000-000002000000}"/>
  <mergeCells count="30">
    <mergeCell ref="G33:G36"/>
    <mergeCell ref="F33:F36"/>
    <mergeCell ref="E33:E36"/>
    <mergeCell ref="H33:H36"/>
    <mergeCell ref="J33:J36"/>
    <mergeCell ref="A1:L1"/>
    <mergeCell ref="G2:K2"/>
    <mergeCell ref="G5:G7"/>
    <mergeCell ref="F5:F7"/>
    <mergeCell ref="E5:E8"/>
    <mergeCell ref="E27:E28"/>
    <mergeCell ref="G12:G13"/>
    <mergeCell ref="F12:F13"/>
    <mergeCell ref="H12:H13"/>
    <mergeCell ref="H5:H6"/>
    <mergeCell ref="H18:H21"/>
    <mergeCell ref="G22:G24"/>
    <mergeCell ref="F22:F24"/>
    <mergeCell ref="H22:H24"/>
    <mergeCell ref="E16:E24"/>
    <mergeCell ref="G16:G17"/>
    <mergeCell ref="F16:F17"/>
    <mergeCell ref="G18:G21"/>
    <mergeCell ref="F18:F21"/>
    <mergeCell ref="H16:H17"/>
    <mergeCell ref="G29:G32"/>
    <mergeCell ref="F29:F32"/>
    <mergeCell ref="H29:H32"/>
    <mergeCell ref="E29:E32"/>
    <mergeCell ref="J29:J32"/>
  </mergeCells>
  <dataValidations count="1">
    <dataValidation type="whole" allowBlank="1" showInputMessage="1" showErrorMessage="1" sqref="E42:E82 F48:F82 F25 F42:F44 D48:D82 E10:E16 E25:E27 E29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/>
  <cols>
    <col min="8" max="8" width="11.42578125" customWidth="1"/>
  </cols>
  <sheetData>
    <row r="1" spans="1:12">
      <c r="A1" s="334" t="s">
        <v>52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</row>
    <row r="2" spans="1:12">
      <c r="A2" s="25"/>
      <c r="B2" s="26"/>
      <c r="C2" s="26"/>
      <c r="D2" s="26"/>
      <c r="E2" s="27"/>
      <c r="F2" s="27"/>
      <c r="G2" s="335" t="s">
        <v>35</v>
      </c>
      <c r="H2" s="336"/>
      <c r="I2" s="336"/>
      <c r="J2" s="336"/>
      <c r="K2" s="337"/>
      <c r="L2" s="24"/>
    </row>
    <row r="3" spans="1:12" ht="21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/>
  <cols>
    <col min="1" max="1" width="10.5703125" bestFit="1" customWidth="1"/>
    <col min="3" max="3" width="19.7109375" customWidth="1"/>
  </cols>
  <sheetData>
    <row r="1" spans="1:12">
      <c r="A1" s="334" t="s">
        <v>51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</row>
    <row r="2" spans="1:12">
      <c r="A2" s="25"/>
      <c r="B2" s="26"/>
      <c r="C2" s="26"/>
      <c r="D2" s="26"/>
      <c r="E2" s="27"/>
      <c r="F2" s="27"/>
      <c r="G2" s="335" t="s">
        <v>35</v>
      </c>
      <c r="H2" s="336"/>
      <c r="I2" s="336"/>
      <c r="J2" s="336"/>
      <c r="K2" s="337"/>
      <c r="L2" s="24"/>
    </row>
    <row r="3" spans="1:12" ht="31.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1"/>
  <sheetViews>
    <sheetView topLeftCell="A7" zoomScale="89" zoomScaleNormal="89" workbookViewId="0">
      <selection activeCell="D20" sqref="D20"/>
    </sheetView>
  </sheetViews>
  <sheetFormatPr defaultRowHeight="1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>
      <c r="A1" s="338" t="s">
        <v>0</v>
      </c>
      <c r="B1" s="338"/>
      <c r="C1" s="338"/>
      <c r="D1" s="338"/>
      <c r="E1" s="338"/>
      <c r="F1" s="338"/>
      <c r="G1" s="338"/>
      <c r="I1" s="338" t="s">
        <v>0</v>
      </c>
      <c r="J1" s="338"/>
      <c r="K1" s="338"/>
      <c r="L1" s="338"/>
      <c r="M1" s="338"/>
      <c r="N1" s="338"/>
      <c r="O1" s="338"/>
    </row>
    <row r="2" spans="1:15">
      <c r="A2" s="339"/>
      <c r="B2" s="339"/>
      <c r="C2" s="339"/>
      <c r="D2" s="339"/>
      <c r="E2" s="339"/>
      <c r="F2" s="339"/>
      <c r="G2" s="339"/>
      <c r="I2" s="339"/>
      <c r="J2" s="339"/>
      <c r="K2" s="339"/>
      <c r="L2" s="339"/>
      <c r="M2" s="339"/>
      <c r="N2" s="339"/>
      <c r="O2" s="339"/>
    </row>
    <row r="3" spans="1:15" ht="18.75">
      <c r="A3" s="340" t="s">
        <v>83</v>
      </c>
      <c r="B3" s="340"/>
      <c r="C3" s="131" t="s">
        <v>165</v>
      </c>
      <c r="D3" s="131"/>
      <c r="E3" s="132"/>
      <c r="F3" s="133" t="s">
        <v>84</v>
      </c>
      <c r="G3" s="132" t="s">
        <v>120</v>
      </c>
      <c r="I3" s="340" t="s">
        <v>83</v>
      </c>
      <c r="J3" s="340"/>
      <c r="K3" s="131" t="s">
        <v>119</v>
      </c>
      <c r="L3" s="131"/>
      <c r="M3" s="132"/>
      <c r="N3" s="133" t="s">
        <v>84</v>
      </c>
      <c r="O3" s="132" t="s">
        <v>117</v>
      </c>
    </row>
    <row r="5" spans="1:1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30">
      <c r="A6" s="135">
        <v>1</v>
      </c>
      <c r="B6" s="227">
        <v>45647</v>
      </c>
      <c r="C6" s="108" t="s">
        <v>134</v>
      </c>
      <c r="D6" s="145" t="s">
        <v>212</v>
      </c>
      <c r="E6" s="108" t="s">
        <v>135</v>
      </c>
      <c r="F6" s="108" t="s">
        <v>136</v>
      </c>
      <c r="G6" s="108">
        <v>4100</v>
      </c>
      <c r="I6" s="135"/>
      <c r="J6" s="178"/>
      <c r="K6" s="108"/>
      <c r="L6" s="145"/>
      <c r="M6" s="108"/>
      <c r="N6" s="108"/>
      <c r="O6" s="108"/>
    </row>
    <row r="7" spans="1:15" ht="30">
      <c r="A7" s="135">
        <f>SUM(A6+1)</f>
        <v>2</v>
      </c>
      <c r="B7" s="227">
        <v>45647</v>
      </c>
      <c r="C7" s="108" t="s">
        <v>134</v>
      </c>
      <c r="D7" s="145" t="s">
        <v>213</v>
      </c>
      <c r="E7" s="108" t="s">
        <v>135</v>
      </c>
      <c r="F7" s="108" t="s">
        <v>137</v>
      </c>
      <c r="G7" s="108">
        <v>650</v>
      </c>
      <c r="I7" s="135"/>
      <c r="J7" s="178"/>
      <c r="K7" s="108"/>
      <c r="L7" s="108"/>
      <c r="M7" s="108"/>
      <c r="N7" s="108"/>
      <c r="O7" s="108"/>
    </row>
    <row r="8" spans="1:15" ht="18.75">
      <c r="A8" s="135">
        <f t="shared" ref="A8:A16" si="0">SUM(A7+1)</f>
        <v>3</v>
      </c>
      <c r="B8" s="227">
        <v>45648</v>
      </c>
      <c r="C8" s="108" t="s">
        <v>134</v>
      </c>
      <c r="D8" s="145" t="s">
        <v>214</v>
      </c>
      <c r="E8" s="108" t="s">
        <v>135</v>
      </c>
      <c r="F8" s="108" t="s">
        <v>136</v>
      </c>
      <c r="G8" s="108">
        <v>3800</v>
      </c>
      <c r="I8" s="135"/>
      <c r="J8" s="178"/>
      <c r="K8" s="108"/>
      <c r="L8" s="145"/>
      <c r="M8" s="108"/>
      <c r="N8" s="108"/>
      <c r="O8" s="108"/>
    </row>
    <row r="9" spans="1:15" ht="30">
      <c r="A9" s="135">
        <f t="shared" si="0"/>
        <v>4</v>
      </c>
      <c r="B9" s="227">
        <v>45649</v>
      </c>
      <c r="C9" s="108" t="s">
        <v>134</v>
      </c>
      <c r="D9" s="145" t="s">
        <v>215</v>
      </c>
      <c r="E9" s="108" t="s">
        <v>135</v>
      </c>
      <c r="F9" s="108" t="s">
        <v>137</v>
      </c>
      <c r="G9" s="108">
        <v>100</v>
      </c>
      <c r="I9" s="135"/>
      <c r="J9" s="178"/>
      <c r="K9" s="108"/>
      <c r="L9" s="108"/>
      <c r="M9" s="108"/>
      <c r="N9" s="108"/>
      <c r="O9" s="108"/>
    </row>
    <row r="10" spans="1:15" ht="29.25" customHeight="1">
      <c r="A10" s="135">
        <f t="shared" si="0"/>
        <v>5</v>
      </c>
      <c r="B10" s="227">
        <v>45649</v>
      </c>
      <c r="C10" s="108" t="s">
        <v>134</v>
      </c>
      <c r="D10" s="145" t="s">
        <v>216</v>
      </c>
      <c r="E10" s="108" t="s">
        <v>135</v>
      </c>
      <c r="F10" s="108" t="s">
        <v>137</v>
      </c>
      <c r="G10" s="108">
        <v>150</v>
      </c>
      <c r="I10" s="135"/>
      <c r="J10" s="178"/>
      <c r="K10" s="108"/>
      <c r="L10" s="108"/>
      <c r="M10" s="108"/>
      <c r="N10" s="108"/>
      <c r="O10" s="108"/>
    </row>
    <row r="11" spans="1:15" ht="36.75" customHeight="1">
      <c r="A11" s="135">
        <f t="shared" si="0"/>
        <v>6</v>
      </c>
      <c r="B11" s="227">
        <v>45649</v>
      </c>
      <c r="C11" s="108" t="s">
        <v>134</v>
      </c>
      <c r="D11" s="145" t="s">
        <v>214</v>
      </c>
      <c r="E11" s="108" t="s">
        <v>135</v>
      </c>
      <c r="F11" s="108" t="s">
        <v>137</v>
      </c>
      <c r="G11" s="108">
        <v>180</v>
      </c>
      <c r="I11" s="135"/>
      <c r="J11" s="178"/>
      <c r="K11" s="108"/>
      <c r="L11" s="108"/>
      <c r="M11" s="108"/>
      <c r="N11" s="108"/>
      <c r="O11" s="108"/>
    </row>
    <row r="12" spans="1:15" ht="42" customHeight="1">
      <c r="A12" s="135">
        <f t="shared" si="0"/>
        <v>7</v>
      </c>
      <c r="B12" s="227">
        <v>45650</v>
      </c>
      <c r="C12" s="108" t="s">
        <v>134</v>
      </c>
      <c r="D12" s="145" t="s">
        <v>217</v>
      </c>
      <c r="E12" s="108" t="s">
        <v>135</v>
      </c>
      <c r="F12" s="108" t="s">
        <v>137</v>
      </c>
      <c r="G12" s="108">
        <v>1160</v>
      </c>
      <c r="I12" s="135"/>
      <c r="J12" s="178"/>
      <c r="K12" s="108"/>
      <c r="L12" s="108"/>
      <c r="M12" s="108"/>
      <c r="N12" s="108"/>
      <c r="O12" s="108"/>
    </row>
    <row r="13" spans="1:15" ht="42" customHeight="1">
      <c r="A13" s="135"/>
      <c r="B13" s="227">
        <v>45650</v>
      </c>
      <c r="C13" s="108" t="s">
        <v>134</v>
      </c>
      <c r="D13" s="145" t="s">
        <v>216</v>
      </c>
      <c r="E13" s="108" t="s">
        <v>135</v>
      </c>
      <c r="F13" s="108" t="s">
        <v>136</v>
      </c>
      <c r="G13" s="108">
        <v>500</v>
      </c>
      <c r="I13" s="135"/>
      <c r="J13" s="178"/>
      <c r="K13" s="108"/>
      <c r="L13" s="108"/>
      <c r="M13" s="108"/>
      <c r="N13" s="108"/>
      <c r="O13" s="108"/>
    </row>
    <row r="14" spans="1:15" ht="32.1" customHeight="1">
      <c r="A14" s="135">
        <f>SUM(A12+1)</f>
        <v>8</v>
      </c>
      <c r="B14" s="227">
        <v>45652</v>
      </c>
      <c r="C14" s="108" t="s">
        <v>134</v>
      </c>
      <c r="D14" s="145" t="s">
        <v>218</v>
      </c>
      <c r="E14" s="108" t="s">
        <v>135</v>
      </c>
      <c r="F14" s="108" t="s">
        <v>137</v>
      </c>
      <c r="G14" s="108">
        <v>2200</v>
      </c>
      <c r="I14" s="135"/>
      <c r="J14" s="178"/>
      <c r="K14" s="108"/>
      <c r="L14" s="108"/>
      <c r="M14" s="108"/>
      <c r="N14" s="108"/>
      <c r="O14" s="108"/>
    </row>
    <row r="15" spans="1:15" ht="69" customHeight="1">
      <c r="A15" s="135">
        <f t="shared" si="0"/>
        <v>9</v>
      </c>
      <c r="B15" s="227">
        <v>45652</v>
      </c>
      <c r="C15" s="108" t="s">
        <v>134</v>
      </c>
      <c r="D15" s="145" t="s">
        <v>219</v>
      </c>
      <c r="E15" s="108" t="s">
        <v>135</v>
      </c>
      <c r="F15" s="108" t="s">
        <v>137</v>
      </c>
      <c r="G15" s="108">
        <v>960</v>
      </c>
      <c r="I15" s="135"/>
      <c r="J15" s="178"/>
      <c r="K15" s="108"/>
      <c r="L15" s="108"/>
      <c r="M15" s="108"/>
      <c r="N15" s="108"/>
      <c r="O15" s="108"/>
    </row>
    <row r="16" spans="1:15" ht="29.25" customHeight="1">
      <c r="A16" s="135">
        <f>SUM(A15+1)</f>
        <v>10</v>
      </c>
      <c r="B16" s="227">
        <v>45652</v>
      </c>
      <c r="C16" s="108" t="s">
        <v>134</v>
      </c>
      <c r="D16" s="145" t="s">
        <v>220</v>
      </c>
      <c r="E16" s="108" t="s">
        <v>135</v>
      </c>
      <c r="F16" s="108" t="s">
        <v>137</v>
      </c>
      <c r="G16" s="108">
        <v>600</v>
      </c>
      <c r="I16" s="251"/>
      <c r="J16" s="178"/>
      <c r="K16" s="108"/>
      <c r="L16" s="108"/>
      <c r="M16" s="108"/>
      <c r="N16" s="108"/>
      <c r="O16" s="108"/>
    </row>
    <row r="17" spans="1:15" ht="30.75" customHeight="1">
      <c r="A17" s="135">
        <f t="shared" ref="A17:A22" si="1">SUM(A16+1)</f>
        <v>11</v>
      </c>
      <c r="B17" s="227">
        <v>45653</v>
      </c>
      <c r="C17" s="108" t="s">
        <v>134</v>
      </c>
      <c r="D17" s="145" t="s">
        <v>215</v>
      </c>
      <c r="E17" s="108" t="s">
        <v>135</v>
      </c>
      <c r="F17" s="108" t="s">
        <v>137</v>
      </c>
      <c r="G17" s="108">
        <v>100</v>
      </c>
      <c r="I17" s="251"/>
      <c r="J17" s="178"/>
      <c r="K17" s="108"/>
      <c r="L17" s="108"/>
      <c r="M17" s="108"/>
      <c r="N17" s="108"/>
      <c r="O17" s="108"/>
    </row>
    <row r="18" spans="1:15" ht="29.25" customHeight="1">
      <c r="A18" s="135">
        <f t="shared" si="1"/>
        <v>12</v>
      </c>
      <c r="B18" s="227">
        <v>45654</v>
      </c>
      <c r="C18" s="108" t="s">
        <v>134</v>
      </c>
      <c r="D18" s="145" t="s">
        <v>214</v>
      </c>
      <c r="E18" s="108" t="s">
        <v>135</v>
      </c>
      <c r="F18" s="108" t="s">
        <v>136</v>
      </c>
      <c r="G18" s="108">
        <v>3800</v>
      </c>
      <c r="I18" s="135"/>
      <c r="J18" s="178"/>
      <c r="K18" s="108"/>
      <c r="L18" s="108"/>
      <c r="M18" s="108"/>
      <c r="N18" s="108"/>
      <c r="O18" s="108"/>
    </row>
    <row r="19" spans="1:15" ht="30">
      <c r="A19" s="135">
        <f t="shared" si="1"/>
        <v>13</v>
      </c>
      <c r="B19" s="227">
        <v>45655</v>
      </c>
      <c r="C19" s="108" t="s">
        <v>134</v>
      </c>
      <c r="D19" s="145" t="s">
        <v>236</v>
      </c>
      <c r="E19" s="108" t="s">
        <v>135</v>
      </c>
      <c r="F19" s="108" t="s">
        <v>137</v>
      </c>
      <c r="G19" s="108">
        <v>120</v>
      </c>
      <c r="I19" s="135"/>
      <c r="J19" s="178"/>
      <c r="K19" s="108"/>
      <c r="L19" s="108"/>
      <c r="M19" s="108"/>
      <c r="N19" s="108"/>
      <c r="O19" s="108"/>
    </row>
    <row r="20" spans="1:15" ht="33.6" customHeight="1">
      <c r="A20" s="135">
        <f t="shared" si="1"/>
        <v>14</v>
      </c>
      <c r="B20" s="227">
        <v>45655</v>
      </c>
      <c r="C20" s="108" t="s">
        <v>134</v>
      </c>
      <c r="D20" s="145" t="s">
        <v>237</v>
      </c>
      <c r="E20" s="108" t="s">
        <v>135</v>
      </c>
      <c r="F20" s="108" t="s">
        <v>238</v>
      </c>
      <c r="G20" s="108">
        <v>500</v>
      </c>
      <c r="I20" s="135"/>
      <c r="J20" s="178"/>
      <c r="K20" s="108"/>
      <c r="L20" s="108"/>
      <c r="M20" s="108"/>
      <c r="N20" s="108"/>
      <c r="O20" s="108"/>
    </row>
    <row r="21" spans="1:15" ht="33.6" customHeight="1">
      <c r="A21" s="135">
        <f t="shared" si="1"/>
        <v>15</v>
      </c>
      <c r="B21" s="227">
        <v>45656</v>
      </c>
      <c r="C21" s="108" t="s">
        <v>134</v>
      </c>
      <c r="D21" s="145" t="s">
        <v>239</v>
      </c>
      <c r="E21" s="108" t="s">
        <v>135</v>
      </c>
      <c r="F21" s="108" t="s">
        <v>136</v>
      </c>
      <c r="G21" s="108">
        <v>5100</v>
      </c>
      <c r="I21" s="135"/>
      <c r="J21" s="178"/>
      <c r="K21" s="108"/>
      <c r="L21" s="108"/>
      <c r="M21" s="108"/>
      <c r="N21" s="108"/>
      <c r="O21" s="108"/>
    </row>
    <row r="22" spans="1:15" ht="33.6" customHeight="1">
      <c r="A22" s="135">
        <f t="shared" si="1"/>
        <v>16</v>
      </c>
      <c r="B22" s="227">
        <v>45657</v>
      </c>
      <c r="C22" s="108" t="s">
        <v>134</v>
      </c>
      <c r="D22" s="145" t="s">
        <v>248</v>
      </c>
      <c r="E22" s="108" t="s">
        <v>135</v>
      </c>
      <c r="F22" s="108" t="s">
        <v>136</v>
      </c>
      <c r="G22" s="108">
        <v>5000</v>
      </c>
      <c r="I22" s="135"/>
      <c r="J22" s="178"/>
      <c r="K22" s="108"/>
      <c r="L22" s="108"/>
      <c r="M22" s="108"/>
      <c r="N22" s="108"/>
      <c r="O22" s="108"/>
    </row>
    <row r="23" spans="1:15" ht="18.75">
      <c r="A23" s="135"/>
      <c r="B23" s="217"/>
      <c r="C23" s="102"/>
      <c r="D23" s="102"/>
      <c r="E23" s="102"/>
      <c r="F23" s="102"/>
      <c r="G23" s="102"/>
      <c r="I23" s="135"/>
      <c r="J23" s="178"/>
      <c r="K23" s="108"/>
      <c r="L23" s="108"/>
      <c r="M23" s="108"/>
      <c r="N23" s="108"/>
      <c r="O23" s="108"/>
    </row>
    <row r="24" spans="1:15">
      <c r="C24" s="341"/>
      <c r="D24" s="341"/>
      <c r="E24" s="341"/>
      <c r="G24" s="228"/>
      <c r="I24" s="124"/>
      <c r="J24" s="186"/>
      <c r="K24" s="124"/>
      <c r="L24" s="124"/>
      <c r="M24" s="124"/>
      <c r="N24" s="108"/>
      <c r="O24" s="134"/>
    </row>
    <row r="25" spans="1:15">
      <c r="C25" s="341"/>
      <c r="D25" s="341"/>
      <c r="E25" s="341"/>
      <c r="F25" s="108" t="s">
        <v>23</v>
      </c>
      <c r="G25" s="108">
        <f>SUM(G6:G22)</f>
        <v>29020</v>
      </c>
    </row>
    <row r="26" spans="1:15">
      <c r="B26" s="186"/>
      <c r="C26" s="341"/>
      <c r="D26" s="341"/>
      <c r="E26" s="341"/>
      <c r="F26" s="342"/>
      <c r="G26" s="342"/>
      <c r="I26" s="114"/>
      <c r="J26" s="179"/>
      <c r="K26" s="114"/>
      <c r="L26" s="114"/>
      <c r="M26" s="114"/>
      <c r="N26" s="114"/>
      <c r="O26" s="114"/>
    </row>
    <row r="27" spans="1:15">
      <c r="F27" s="339"/>
      <c r="G27" s="339"/>
      <c r="I27" s="137" t="s">
        <v>78</v>
      </c>
      <c r="J27" s="180"/>
      <c r="K27" s="47"/>
      <c r="L27" s="47" t="s">
        <v>79</v>
      </c>
      <c r="M27" s="47"/>
      <c r="N27" s="47" t="s">
        <v>80</v>
      </c>
      <c r="O27" s="47"/>
    </row>
    <row r="28" spans="1:15">
      <c r="A28" s="137"/>
      <c r="B28" s="179"/>
      <c r="C28" s="114"/>
      <c r="D28" s="114"/>
      <c r="E28" s="114"/>
      <c r="F28" s="339"/>
      <c r="G28" s="339"/>
      <c r="I28" s="138" t="s">
        <v>30</v>
      </c>
      <c r="J28" s="179"/>
      <c r="K28" s="114"/>
      <c r="L28" s="114" t="s">
        <v>81</v>
      </c>
      <c r="N28" s="114" t="s">
        <v>82</v>
      </c>
    </row>
    <row r="29" spans="1:15">
      <c r="A29" s="137" t="s">
        <v>78</v>
      </c>
      <c r="B29" s="179"/>
      <c r="C29" s="47"/>
      <c r="D29" s="47" t="s">
        <v>79</v>
      </c>
      <c r="E29" s="47"/>
      <c r="F29" s="47" t="s">
        <v>80</v>
      </c>
      <c r="G29" s="47"/>
    </row>
    <row r="30" spans="1:15">
      <c r="A30" s="138" t="s">
        <v>30</v>
      </c>
      <c r="C30" s="223"/>
      <c r="D30" s="114" t="s">
        <v>81</v>
      </c>
      <c r="F30" s="114" t="s">
        <v>82</v>
      </c>
    </row>
    <row r="31" spans="1:15">
      <c r="B31" s="223"/>
      <c r="C31" s="223"/>
    </row>
  </sheetData>
  <mergeCells count="8">
    <mergeCell ref="I1:O1"/>
    <mergeCell ref="I2:O2"/>
    <mergeCell ref="I3:J3"/>
    <mergeCell ref="C24:E26"/>
    <mergeCell ref="F26:G28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94"/>
  <sheetViews>
    <sheetView topLeftCell="A75" workbookViewId="0">
      <selection activeCell="K83" sqref="K83"/>
    </sheetView>
  </sheetViews>
  <sheetFormatPr defaultRowHeight="15"/>
  <cols>
    <col min="2" max="2" width="11.285156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>
      <c r="A1" s="353" t="s">
        <v>0</v>
      </c>
      <c r="B1" s="354"/>
      <c r="C1" s="354"/>
      <c r="D1" s="354"/>
      <c r="E1" s="354"/>
      <c r="F1" s="354"/>
      <c r="G1" s="355"/>
      <c r="I1" s="353" t="s">
        <v>0</v>
      </c>
      <c r="J1" s="354"/>
      <c r="K1" s="354"/>
      <c r="L1" s="354"/>
      <c r="M1" s="354"/>
      <c r="N1" s="354"/>
      <c r="O1" s="355"/>
    </row>
    <row r="2" spans="1:15">
      <c r="A2" s="351"/>
      <c r="B2" s="339"/>
      <c r="C2" s="339"/>
      <c r="D2" s="339"/>
      <c r="E2" s="339"/>
      <c r="F2" s="339"/>
      <c r="G2" s="352"/>
      <c r="I2" s="351"/>
      <c r="J2" s="339"/>
      <c r="K2" s="339"/>
      <c r="L2" s="339"/>
      <c r="M2" s="339"/>
      <c r="N2" s="339"/>
      <c r="O2" s="352"/>
    </row>
    <row r="3" spans="1:15">
      <c r="A3" s="349" t="s">
        <v>83</v>
      </c>
      <c r="B3" s="350"/>
      <c r="C3" s="123" t="s">
        <v>143</v>
      </c>
      <c r="D3" s="123"/>
      <c r="E3" s="124"/>
      <c r="F3" s="125" t="s">
        <v>84</v>
      </c>
      <c r="G3" s="126" t="s">
        <v>117</v>
      </c>
      <c r="I3" s="349" t="s">
        <v>83</v>
      </c>
      <c r="J3" s="350"/>
      <c r="K3" s="123" t="s">
        <v>124</v>
      </c>
      <c r="L3" s="123"/>
      <c r="M3" s="124"/>
      <c r="N3" s="125" t="s">
        <v>84</v>
      </c>
      <c r="O3" s="126" t="s">
        <v>121</v>
      </c>
    </row>
    <row r="4" spans="1:15">
      <c r="A4" s="105"/>
      <c r="G4" s="106"/>
      <c r="I4" s="105"/>
      <c r="O4" s="106"/>
    </row>
    <row r="5" spans="1:1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30">
      <c r="A6" s="110">
        <v>1</v>
      </c>
      <c r="B6" s="178">
        <v>45346</v>
      </c>
      <c r="C6" s="145" t="s">
        <v>216</v>
      </c>
      <c r="D6" s="111" t="s">
        <v>134</v>
      </c>
      <c r="E6" s="167" t="s">
        <v>135</v>
      </c>
      <c r="F6" s="108" t="s">
        <v>137</v>
      </c>
      <c r="G6" s="112">
        <v>30</v>
      </c>
      <c r="I6" s="107">
        <v>1</v>
      </c>
      <c r="J6" s="227">
        <v>44964</v>
      </c>
      <c r="K6" s="145" t="s">
        <v>162</v>
      </c>
      <c r="L6" s="111" t="s">
        <v>134</v>
      </c>
      <c r="M6" s="196" t="s">
        <v>135</v>
      </c>
      <c r="N6" s="108" t="s">
        <v>146</v>
      </c>
      <c r="O6" s="112">
        <v>60</v>
      </c>
    </row>
    <row r="7" spans="1:15">
      <c r="A7" s="110"/>
      <c r="B7" s="147"/>
      <c r="C7" s="145"/>
      <c r="D7" s="111"/>
      <c r="E7" s="167"/>
      <c r="F7" s="108"/>
      <c r="G7" s="112"/>
      <c r="I7" s="113"/>
      <c r="J7" s="179"/>
      <c r="K7" s="114"/>
      <c r="L7" s="114"/>
      <c r="M7" s="114"/>
      <c r="N7" s="114"/>
      <c r="O7" s="115"/>
    </row>
    <row r="8" spans="1:15">
      <c r="A8" s="110"/>
      <c r="F8" s="111"/>
      <c r="G8" s="112"/>
      <c r="I8" s="116" t="s">
        <v>78</v>
      </c>
      <c r="J8" s="180"/>
      <c r="K8" s="47"/>
      <c r="L8" s="47" t="s">
        <v>79</v>
      </c>
      <c r="M8" s="47"/>
      <c r="N8" s="47" t="s">
        <v>80</v>
      </c>
      <c r="O8" s="117"/>
    </row>
    <row r="9" spans="1:15" ht="15.75" thickBot="1">
      <c r="A9" s="105"/>
      <c r="F9" s="111" t="s">
        <v>23</v>
      </c>
      <c r="G9" s="112">
        <f>SUM(G6:G6)</f>
        <v>30</v>
      </c>
      <c r="I9" s="127" t="s">
        <v>30</v>
      </c>
      <c r="J9" s="191"/>
      <c r="K9" s="128"/>
      <c r="L9" s="128" t="s">
        <v>81</v>
      </c>
      <c r="M9" s="129"/>
      <c r="N9" s="128" t="s">
        <v>82</v>
      </c>
      <c r="O9" s="130"/>
    </row>
    <row r="10" spans="1:15" ht="15.75" thickBot="1">
      <c r="A10" s="113"/>
      <c r="B10" s="179"/>
      <c r="C10" s="114"/>
      <c r="D10" s="114"/>
      <c r="E10" s="114"/>
      <c r="F10" s="114"/>
      <c r="G10" s="115"/>
    </row>
    <row r="11" spans="1:15">
      <c r="A11" s="116" t="s">
        <v>78</v>
      </c>
      <c r="B11" s="180"/>
      <c r="C11" s="47"/>
      <c r="D11" s="47" t="s">
        <v>79</v>
      </c>
      <c r="E11" s="47"/>
      <c r="F11" s="47" t="s">
        <v>80</v>
      </c>
      <c r="G11" s="117"/>
      <c r="I11" s="353" t="s">
        <v>0</v>
      </c>
      <c r="J11" s="354"/>
      <c r="K11" s="354"/>
      <c r="L11" s="354"/>
      <c r="M11" s="354"/>
      <c r="N11" s="354"/>
      <c r="O11" s="355"/>
    </row>
    <row r="12" spans="1:15" ht="15.75" thickBot="1">
      <c r="A12" s="127" t="s">
        <v>30</v>
      </c>
      <c r="B12" s="191"/>
      <c r="C12" s="128"/>
      <c r="D12" s="128" t="s">
        <v>81</v>
      </c>
      <c r="E12" s="129"/>
      <c r="F12" s="128" t="s">
        <v>82</v>
      </c>
      <c r="G12" s="130"/>
      <c r="I12" s="351"/>
      <c r="J12" s="339"/>
      <c r="K12" s="339"/>
      <c r="L12" s="339"/>
      <c r="M12" s="339"/>
      <c r="N12" s="339"/>
      <c r="O12" s="352"/>
    </row>
    <row r="13" spans="1:15" ht="15.75" thickBot="1">
      <c r="I13" s="349" t="s">
        <v>83</v>
      </c>
      <c r="J13" s="350"/>
      <c r="K13" s="123" t="s">
        <v>125</v>
      </c>
      <c r="L13" s="123"/>
      <c r="M13" s="124"/>
      <c r="N13" s="125" t="s">
        <v>84</v>
      </c>
      <c r="O13" s="126" t="s">
        <v>117</v>
      </c>
    </row>
    <row r="14" spans="1:15">
      <c r="A14" s="353" t="s">
        <v>0</v>
      </c>
      <c r="B14" s="354"/>
      <c r="C14" s="354"/>
      <c r="D14" s="354"/>
      <c r="E14" s="354"/>
      <c r="F14" s="354"/>
      <c r="G14" s="355"/>
      <c r="I14" s="105"/>
      <c r="O14" s="106"/>
    </row>
    <row r="15" spans="1:15">
      <c r="A15" s="351"/>
      <c r="B15" s="339"/>
      <c r="C15" s="339"/>
      <c r="D15" s="339"/>
      <c r="E15" s="339"/>
      <c r="F15" s="339"/>
      <c r="G15" s="352"/>
      <c r="I15" s="107" t="s">
        <v>77</v>
      </c>
      <c r="J15" s="178" t="s">
        <v>36</v>
      </c>
      <c r="K15" s="108" t="s">
        <v>85</v>
      </c>
      <c r="L15" s="108" t="s">
        <v>86</v>
      </c>
      <c r="M15" s="108" t="s">
        <v>5</v>
      </c>
      <c r="N15" s="108" t="s">
        <v>87</v>
      </c>
      <c r="O15" s="109" t="s">
        <v>56</v>
      </c>
    </row>
    <row r="16" spans="1:15">
      <c r="A16" s="349" t="s">
        <v>83</v>
      </c>
      <c r="B16" s="350"/>
      <c r="C16" s="123" t="s">
        <v>126</v>
      </c>
      <c r="D16" s="123"/>
      <c r="E16" s="124"/>
      <c r="F16" s="125" t="s">
        <v>84</v>
      </c>
      <c r="G16" s="126" t="s">
        <v>145</v>
      </c>
      <c r="I16" s="110">
        <v>1</v>
      </c>
      <c r="J16" s="227">
        <v>45202</v>
      </c>
      <c r="K16" s="145" t="s">
        <v>140</v>
      </c>
      <c r="L16" s="111" t="s">
        <v>134</v>
      </c>
      <c r="M16" s="167" t="s">
        <v>135</v>
      </c>
      <c r="N16" s="108" t="s">
        <v>137</v>
      </c>
      <c r="O16" s="112"/>
    </row>
    <row r="17" spans="1:15">
      <c r="A17" s="105"/>
      <c r="G17" s="106"/>
      <c r="I17" s="110">
        <v>2</v>
      </c>
      <c r="J17" s="227">
        <v>45203</v>
      </c>
      <c r="K17" s="108" t="s">
        <v>139</v>
      </c>
      <c r="L17" s="111" t="s">
        <v>134</v>
      </c>
      <c r="M17" s="167" t="s">
        <v>135</v>
      </c>
      <c r="N17" s="108" t="s">
        <v>138</v>
      </c>
      <c r="O17" s="112"/>
    </row>
    <row r="18" spans="1:15">
      <c r="A18" s="107" t="s">
        <v>77</v>
      </c>
      <c r="B18" s="178" t="s">
        <v>36</v>
      </c>
      <c r="C18" s="108" t="s">
        <v>85</v>
      </c>
      <c r="D18" s="108" t="s">
        <v>86</v>
      </c>
      <c r="E18" s="108" t="s">
        <v>5</v>
      </c>
      <c r="F18" s="108" t="s">
        <v>87</v>
      </c>
      <c r="G18" s="109" t="s">
        <v>56</v>
      </c>
      <c r="I18" s="111"/>
      <c r="J18" s="217"/>
      <c r="K18" s="102"/>
      <c r="L18" s="102"/>
      <c r="M18" s="102"/>
      <c r="N18" s="102"/>
      <c r="O18" s="102"/>
    </row>
    <row r="19" spans="1:15" ht="30">
      <c r="A19" s="107">
        <v>1</v>
      </c>
      <c r="B19" s="227">
        <v>45647</v>
      </c>
      <c r="C19" s="145" t="s">
        <v>213</v>
      </c>
      <c r="D19" s="111" t="s">
        <v>134</v>
      </c>
      <c r="E19" s="221" t="s">
        <v>135</v>
      </c>
      <c r="F19" s="108" t="s">
        <v>146</v>
      </c>
      <c r="G19" s="109">
        <v>100</v>
      </c>
      <c r="I19" s="356"/>
      <c r="J19" s="357"/>
      <c r="K19" s="357"/>
      <c r="L19" s="357"/>
      <c r="M19" s="358"/>
      <c r="N19" s="215" t="s">
        <v>23</v>
      </c>
      <c r="O19" s="216"/>
    </row>
    <row r="20" spans="1:15" ht="33.75" customHeight="1">
      <c r="A20" s="107">
        <v>2</v>
      </c>
      <c r="B20" s="227">
        <v>45649</v>
      </c>
      <c r="C20" s="145" t="s">
        <v>215</v>
      </c>
      <c r="D20" s="108" t="s">
        <v>134</v>
      </c>
      <c r="E20" s="219" t="s">
        <v>135</v>
      </c>
      <c r="F20" s="108" t="s">
        <v>146</v>
      </c>
      <c r="G20" s="109">
        <v>100</v>
      </c>
      <c r="I20" s="105"/>
      <c r="O20" s="106"/>
    </row>
    <row r="21" spans="1:15" ht="33.75" customHeight="1">
      <c r="A21" s="107">
        <v>3</v>
      </c>
      <c r="B21" s="227">
        <v>45649</v>
      </c>
      <c r="C21" s="145" t="s">
        <v>216</v>
      </c>
      <c r="D21" s="108" t="s">
        <v>134</v>
      </c>
      <c r="E21" s="219" t="s">
        <v>135</v>
      </c>
      <c r="F21" s="108" t="s">
        <v>146</v>
      </c>
      <c r="G21" s="109">
        <v>30</v>
      </c>
      <c r="I21" s="105"/>
      <c r="O21" s="106"/>
    </row>
    <row r="22" spans="1:15" ht="33.75" customHeight="1">
      <c r="A22" s="107">
        <v>4</v>
      </c>
      <c r="B22" s="227">
        <v>45649</v>
      </c>
      <c r="C22" s="145" t="s">
        <v>214</v>
      </c>
      <c r="D22" s="108" t="s">
        <v>134</v>
      </c>
      <c r="E22" s="219" t="s">
        <v>135</v>
      </c>
      <c r="F22" s="108" t="s">
        <v>146</v>
      </c>
      <c r="G22" s="109">
        <v>150</v>
      </c>
      <c r="I22" s="105"/>
      <c r="O22" s="106"/>
    </row>
    <row r="23" spans="1:15" ht="33.75" customHeight="1">
      <c r="A23" s="107">
        <v>5</v>
      </c>
      <c r="B23" s="227">
        <v>45650</v>
      </c>
      <c r="C23" s="145" t="s">
        <v>217</v>
      </c>
      <c r="D23" s="108" t="s">
        <v>134</v>
      </c>
      <c r="E23" s="219" t="s">
        <v>135</v>
      </c>
      <c r="F23" s="108" t="s">
        <v>146</v>
      </c>
      <c r="G23" s="109">
        <v>220</v>
      </c>
      <c r="I23" s="105"/>
      <c r="O23" s="106"/>
    </row>
    <row r="24" spans="1:15" ht="33.75" customHeight="1">
      <c r="A24" s="107">
        <v>6</v>
      </c>
      <c r="B24" s="227">
        <v>45652</v>
      </c>
      <c r="C24" s="145" t="s">
        <v>249</v>
      </c>
      <c r="D24" s="108" t="s">
        <v>134</v>
      </c>
      <c r="E24" s="219" t="s">
        <v>135</v>
      </c>
      <c r="F24" s="108" t="s">
        <v>146</v>
      </c>
      <c r="G24" s="109">
        <v>280</v>
      </c>
      <c r="I24" s="105"/>
      <c r="O24" s="106"/>
    </row>
    <row r="25" spans="1:15" ht="33.75" customHeight="1">
      <c r="A25" s="107">
        <v>7</v>
      </c>
      <c r="B25" s="227">
        <v>45653</v>
      </c>
      <c r="C25" s="145" t="s">
        <v>215</v>
      </c>
      <c r="D25" s="108" t="s">
        <v>134</v>
      </c>
      <c r="E25" s="219" t="s">
        <v>135</v>
      </c>
      <c r="F25" s="108" t="s">
        <v>146</v>
      </c>
      <c r="G25" s="109">
        <v>100</v>
      </c>
      <c r="I25" s="105"/>
      <c r="O25" s="106"/>
    </row>
    <row r="26" spans="1:15" ht="33.75" customHeight="1">
      <c r="A26" s="107">
        <v>8</v>
      </c>
      <c r="B26" s="227">
        <v>45655</v>
      </c>
      <c r="C26" s="145" t="s">
        <v>250</v>
      </c>
      <c r="D26" s="108" t="s">
        <v>134</v>
      </c>
      <c r="E26" s="219" t="s">
        <v>135</v>
      </c>
      <c r="F26" s="108" t="s">
        <v>146</v>
      </c>
      <c r="G26" s="109">
        <v>40</v>
      </c>
      <c r="I26" s="105"/>
      <c r="O26" s="106"/>
    </row>
    <row r="27" spans="1:15" ht="33.75" customHeight="1">
      <c r="A27" s="107">
        <v>9</v>
      </c>
      <c r="B27" s="227">
        <v>45655</v>
      </c>
      <c r="C27" s="145" t="s">
        <v>237</v>
      </c>
      <c r="D27" s="108" t="s">
        <v>134</v>
      </c>
      <c r="E27" s="219" t="s">
        <v>135</v>
      </c>
      <c r="F27" s="108" t="s">
        <v>146</v>
      </c>
      <c r="G27" s="109">
        <v>20</v>
      </c>
      <c r="I27" s="105"/>
      <c r="O27" s="106"/>
    </row>
    <row r="28" spans="1:15" ht="15.75" thickBot="1">
      <c r="A28" s="264"/>
      <c r="G28" s="216"/>
      <c r="I28" s="127" t="s">
        <v>30</v>
      </c>
      <c r="J28" s="191"/>
      <c r="K28" s="128"/>
      <c r="L28" s="128" t="s">
        <v>81</v>
      </c>
      <c r="M28" s="129"/>
      <c r="N28" s="128" t="s">
        <v>82</v>
      </c>
      <c r="O28" s="130"/>
    </row>
    <row r="29" spans="1:15">
      <c r="A29" s="359"/>
      <c r="B29" s="360"/>
      <c r="C29" s="360"/>
      <c r="D29" s="360"/>
      <c r="E29" s="360"/>
      <c r="F29" s="111" t="s">
        <v>23</v>
      </c>
      <c r="G29" s="112">
        <f>SUM(G19:G27)</f>
        <v>1040</v>
      </c>
    </row>
    <row r="30" spans="1:15" ht="15.75" thickBot="1">
      <c r="A30" s="356"/>
      <c r="B30" s="357"/>
      <c r="C30" s="357"/>
      <c r="D30" s="357"/>
      <c r="E30" s="357"/>
      <c r="G30" s="106"/>
    </row>
    <row r="31" spans="1:15">
      <c r="A31" s="113"/>
      <c r="B31" s="179"/>
      <c r="C31" s="114"/>
      <c r="D31" s="114"/>
      <c r="E31" s="114"/>
      <c r="F31" s="114"/>
      <c r="G31" s="115"/>
      <c r="I31" s="353" t="s">
        <v>0</v>
      </c>
      <c r="J31" s="354"/>
      <c r="K31" s="354"/>
      <c r="L31" s="354"/>
      <c r="M31" s="354"/>
      <c r="N31" s="354"/>
      <c r="O31" s="355"/>
    </row>
    <row r="32" spans="1:15">
      <c r="A32" s="116" t="s">
        <v>78</v>
      </c>
      <c r="B32" s="180"/>
      <c r="C32" s="47"/>
      <c r="D32" s="47" t="s">
        <v>79</v>
      </c>
      <c r="E32" s="47"/>
      <c r="F32" s="47" t="s">
        <v>80</v>
      </c>
      <c r="G32" s="117"/>
      <c r="I32" s="351" t="s">
        <v>128</v>
      </c>
      <c r="J32" s="339"/>
      <c r="K32" s="339"/>
      <c r="L32" s="339"/>
      <c r="M32" s="339"/>
      <c r="N32" s="339"/>
      <c r="O32" s="352"/>
    </row>
    <row r="33" spans="1:15" ht="15.75" thickBot="1">
      <c r="A33" s="127" t="s">
        <v>30</v>
      </c>
      <c r="B33" s="191"/>
      <c r="C33" s="128"/>
      <c r="D33" s="128" t="s">
        <v>81</v>
      </c>
      <c r="E33" s="129"/>
      <c r="F33" s="128" t="s">
        <v>82</v>
      </c>
      <c r="G33" s="130"/>
      <c r="I33" s="349" t="s">
        <v>83</v>
      </c>
      <c r="J33" s="350"/>
      <c r="K33" s="123" t="s">
        <v>124</v>
      </c>
      <c r="L33" s="123"/>
      <c r="M33" s="124"/>
      <c r="N33" s="125" t="s">
        <v>84</v>
      </c>
      <c r="O33" s="126" t="s">
        <v>121</v>
      </c>
    </row>
    <row r="34" spans="1:15" ht="15.75" thickBot="1">
      <c r="I34" s="105"/>
      <c r="O34" s="106"/>
    </row>
    <row r="35" spans="1:15">
      <c r="A35" s="353" t="s">
        <v>0</v>
      </c>
      <c r="B35" s="354"/>
      <c r="C35" s="354"/>
      <c r="D35" s="354"/>
      <c r="E35" s="354"/>
      <c r="F35" s="354"/>
      <c r="G35" s="355"/>
      <c r="H35" s="198" t="s">
        <v>127</v>
      </c>
      <c r="I35" s="107" t="s">
        <v>77</v>
      </c>
      <c r="J35" s="178" t="s">
        <v>36</v>
      </c>
      <c r="K35" s="108" t="s">
        <v>85</v>
      </c>
      <c r="L35" s="108" t="s">
        <v>86</v>
      </c>
      <c r="M35" s="108" t="s">
        <v>5</v>
      </c>
      <c r="N35" s="108" t="s">
        <v>87</v>
      </c>
      <c r="O35" s="109" t="s">
        <v>56</v>
      </c>
    </row>
    <row r="36" spans="1:15">
      <c r="A36" s="351"/>
      <c r="B36" s="339"/>
      <c r="C36" s="339"/>
      <c r="D36" s="339"/>
      <c r="E36" s="339"/>
      <c r="F36" s="339"/>
      <c r="G36" s="352"/>
      <c r="I36" s="110">
        <v>1</v>
      </c>
      <c r="J36" s="147"/>
      <c r="K36" s="145"/>
      <c r="L36" s="111"/>
      <c r="M36" s="196"/>
      <c r="N36" s="108"/>
      <c r="O36" s="112"/>
    </row>
    <row r="37" spans="1:15">
      <c r="A37" s="349" t="s">
        <v>83</v>
      </c>
      <c r="B37" s="350"/>
      <c r="C37" s="123"/>
      <c r="D37" s="123"/>
      <c r="E37" s="124"/>
      <c r="F37" s="125" t="s">
        <v>84</v>
      </c>
      <c r="G37" s="126" t="s">
        <v>117</v>
      </c>
      <c r="I37" s="110">
        <v>2</v>
      </c>
      <c r="J37" s="147"/>
      <c r="K37" s="108"/>
      <c r="L37" s="111"/>
      <c r="M37" s="196"/>
      <c r="N37" s="108"/>
      <c r="O37" s="112"/>
    </row>
    <row r="38" spans="1:15">
      <c r="A38" s="105"/>
      <c r="G38" s="106"/>
      <c r="I38" s="110"/>
      <c r="J38" s="147"/>
      <c r="K38" s="145"/>
      <c r="L38" s="111"/>
      <c r="M38" s="196"/>
      <c r="N38" s="108"/>
      <c r="O38" s="112"/>
    </row>
    <row r="39" spans="1:15">
      <c r="A39" s="107" t="s">
        <v>77</v>
      </c>
      <c r="B39" s="178" t="s">
        <v>36</v>
      </c>
      <c r="C39" s="108" t="s">
        <v>85</v>
      </c>
      <c r="D39" s="108" t="s">
        <v>86</v>
      </c>
      <c r="E39" s="108" t="s">
        <v>5</v>
      </c>
      <c r="F39" s="108" t="s">
        <v>87</v>
      </c>
      <c r="G39" s="109" t="s">
        <v>56</v>
      </c>
      <c r="I39" s="110"/>
      <c r="J39" s="220"/>
      <c r="K39" s="221"/>
      <c r="L39" s="221"/>
      <c r="M39" s="196"/>
      <c r="N39" s="219"/>
      <c r="O39" s="222"/>
    </row>
    <row r="40" spans="1:15">
      <c r="A40" s="107"/>
      <c r="B40" s="227"/>
      <c r="C40" s="145"/>
      <c r="D40" s="108"/>
      <c r="E40" s="108"/>
      <c r="F40" s="108"/>
      <c r="G40" s="109"/>
      <c r="I40" s="110"/>
      <c r="J40" s="217"/>
      <c r="K40" s="102"/>
      <c r="L40" s="102"/>
      <c r="M40" s="102"/>
      <c r="N40" s="102"/>
      <c r="O40" s="102"/>
    </row>
    <row r="41" spans="1:15">
      <c r="A41" s="110"/>
      <c r="B41" s="227"/>
      <c r="C41" s="145"/>
      <c r="D41" s="111"/>
      <c r="E41" s="167"/>
      <c r="F41" s="108"/>
      <c r="G41" s="112"/>
      <c r="I41" s="110"/>
      <c r="J41" s="147"/>
      <c r="K41" s="111"/>
      <c r="L41" s="111"/>
      <c r="M41" s="111"/>
      <c r="N41" s="111" t="s">
        <v>23</v>
      </c>
      <c r="O41" s="112">
        <f>SUM(O36:O39)</f>
        <v>0</v>
      </c>
    </row>
    <row r="42" spans="1:15">
      <c r="A42" s="110"/>
      <c r="B42" s="227"/>
      <c r="C42" s="145"/>
      <c r="D42" s="111"/>
      <c r="E42" s="167"/>
      <c r="F42" s="108"/>
      <c r="G42" s="112"/>
      <c r="I42" s="105"/>
      <c r="O42" s="106"/>
    </row>
    <row r="43" spans="1:15">
      <c r="A43" s="110"/>
      <c r="B43" s="227"/>
      <c r="C43" s="145"/>
      <c r="D43" s="111"/>
      <c r="E43" s="167"/>
      <c r="F43" s="108"/>
      <c r="G43" s="112"/>
      <c r="I43" s="113"/>
      <c r="J43" s="179"/>
      <c r="K43" s="114"/>
      <c r="L43" s="114"/>
      <c r="M43" s="114"/>
      <c r="N43" s="114"/>
      <c r="O43" s="115"/>
    </row>
    <row r="44" spans="1:15">
      <c r="A44" s="343"/>
      <c r="B44" s="344"/>
      <c r="C44" s="344"/>
      <c r="D44" s="344"/>
      <c r="E44" s="345"/>
      <c r="F44" s="111"/>
      <c r="G44" s="112">
        <f>SUM(G40:G43)</f>
        <v>0</v>
      </c>
      <c r="I44" s="116" t="s">
        <v>78</v>
      </c>
      <c r="J44" s="180"/>
      <c r="K44" s="47"/>
      <c r="L44" s="47" t="s">
        <v>79</v>
      </c>
      <c r="M44" s="47"/>
      <c r="N44" s="47" t="s">
        <v>80</v>
      </c>
      <c r="O44" s="117"/>
    </row>
    <row r="45" spans="1:15" ht="15.75" thickBot="1">
      <c r="A45" s="105"/>
      <c r="G45" s="106"/>
      <c r="I45" s="127" t="s">
        <v>30</v>
      </c>
      <c r="J45" s="191"/>
      <c r="K45" s="128"/>
      <c r="L45" s="128" t="s">
        <v>81</v>
      </c>
      <c r="M45" s="129"/>
      <c r="N45" s="128" t="s">
        <v>82</v>
      </c>
      <c r="O45" s="130"/>
    </row>
    <row r="46" spans="1:15">
      <c r="A46" s="113"/>
      <c r="B46" s="179"/>
      <c r="D46" s="114"/>
      <c r="E46" s="114"/>
      <c r="F46" s="114"/>
      <c r="G46" s="115"/>
    </row>
    <row r="47" spans="1:15">
      <c r="A47" s="116" t="s">
        <v>78</v>
      </c>
      <c r="B47" s="180"/>
      <c r="C47" s="47"/>
      <c r="D47" s="47" t="s">
        <v>79</v>
      </c>
      <c r="E47" s="47"/>
      <c r="F47" s="47" t="s">
        <v>80</v>
      </c>
      <c r="G47" s="117"/>
    </row>
    <row r="48" spans="1:15" ht="15.75" thickBot="1">
      <c r="A48" s="127" t="s">
        <v>30</v>
      </c>
      <c r="B48" s="191"/>
      <c r="C48" s="128"/>
      <c r="D48" s="128" t="s">
        <v>81</v>
      </c>
      <c r="E48" s="129"/>
      <c r="F48" s="128" t="s">
        <v>82</v>
      </c>
      <c r="G48" s="130"/>
    </row>
    <row r="49" spans="1:7" ht="15.75" thickBot="1"/>
    <row r="50" spans="1:7">
      <c r="A50" s="353" t="s">
        <v>0</v>
      </c>
      <c r="B50" s="354"/>
      <c r="C50" s="354"/>
      <c r="D50" s="354"/>
      <c r="E50" s="354"/>
      <c r="F50" s="354"/>
      <c r="G50" s="355"/>
    </row>
    <row r="51" spans="1:7">
      <c r="A51" s="351"/>
      <c r="B51" s="339"/>
      <c r="C51" s="339"/>
      <c r="D51" s="339"/>
      <c r="E51" s="339"/>
      <c r="F51" s="339"/>
      <c r="G51" s="352"/>
    </row>
    <row r="52" spans="1:7">
      <c r="A52" s="349" t="s">
        <v>83</v>
      </c>
      <c r="B52" s="350"/>
      <c r="C52" s="123" t="s">
        <v>124</v>
      </c>
      <c r="D52" s="123"/>
      <c r="E52" s="124"/>
      <c r="F52" s="125" t="s">
        <v>84</v>
      </c>
      <c r="G52" s="126" t="s">
        <v>121</v>
      </c>
    </row>
    <row r="53" spans="1:7">
      <c r="A53" s="105"/>
      <c r="G53" s="106"/>
    </row>
    <row r="54" spans="1:7">
      <c r="A54" s="107" t="s">
        <v>77</v>
      </c>
      <c r="B54" s="178" t="s">
        <v>36</v>
      </c>
      <c r="C54" s="108" t="s">
        <v>85</v>
      </c>
      <c r="D54" s="108" t="s">
        <v>86</v>
      </c>
      <c r="E54" s="108" t="s">
        <v>5</v>
      </c>
      <c r="F54" s="108" t="s">
        <v>87</v>
      </c>
      <c r="G54" s="109" t="s">
        <v>56</v>
      </c>
    </row>
    <row r="55" spans="1:7">
      <c r="A55" s="107">
        <v>1</v>
      </c>
      <c r="B55" s="227">
        <v>44964</v>
      </c>
      <c r="C55" s="145"/>
      <c r="D55" s="111" t="s">
        <v>134</v>
      </c>
      <c r="E55" s="196" t="s">
        <v>135</v>
      </c>
      <c r="F55" s="108" t="s">
        <v>146</v>
      </c>
      <c r="G55" s="112"/>
    </row>
    <row r="56" spans="1:7">
      <c r="A56" s="110"/>
      <c r="B56" s="227"/>
      <c r="C56" s="108"/>
      <c r="D56" s="111"/>
      <c r="E56" s="167"/>
      <c r="F56" s="108"/>
      <c r="G56" s="112"/>
    </row>
    <row r="57" spans="1:7">
      <c r="A57" s="111"/>
      <c r="B57" s="217"/>
      <c r="C57" s="102"/>
      <c r="D57" s="102"/>
      <c r="E57" s="102"/>
      <c r="F57" s="102"/>
      <c r="G57" s="102"/>
    </row>
    <row r="58" spans="1:7">
      <c r="A58" s="356"/>
      <c r="B58" s="357"/>
      <c r="C58" s="357"/>
      <c r="D58" s="357"/>
      <c r="E58" s="358"/>
      <c r="F58" s="215" t="s">
        <v>23</v>
      </c>
      <c r="G58" s="216">
        <f>SUM(G55:G56)</f>
        <v>0</v>
      </c>
    </row>
    <row r="59" spans="1:7">
      <c r="A59" s="105"/>
      <c r="G59" s="106"/>
    </row>
    <row r="60" spans="1:7">
      <c r="A60" s="113"/>
      <c r="B60" s="179"/>
      <c r="C60" s="114"/>
      <c r="D60" s="114"/>
      <c r="E60" s="114"/>
      <c r="F60" s="114"/>
      <c r="G60" s="115"/>
    </row>
    <row r="61" spans="1:7">
      <c r="A61" s="116" t="s">
        <v>78</v>
      </c>
      <c r="B61" s="180"/>
      <c r="C61" s="47"/>
      <c r="D61" s="47" t="s">
        <v>79</v>
      </c>
      <c r="E61" s="47"/>
      <c r="F61" s="47" t="s">
        <v>80</v>
      </c>
      <c r="G61" s="117"/>
    </row>
    <row r="62" spans="1:7" ht="15.75" thickBot="1">
      <c r="A62" s="127" t="s">
        <v>30</v>
      </c>
      <c r="B62" s="191"/>
      <c r="C62" s="128"/>
      <c r="D62" s="128" t="s">
        <v>81</v>
      </c>
      <c r="E62" s="129"/>
      <c r="F62" s="128" t="s">
        <v>82</v>
      </c>
      <c r="G62" s="130"/>
    </row>
    <row r="63" spans="1:7" ht="15.75" thickBot="1"/>
    <row r="64" spans="1:7">
      <c r="A64" s="353" t="s">
        <v>0</v>
      </c>
      <c r="B64" s="354"/>
      <c r="C64" s="354"/>
      <c r="D64" s="354"/>
      <c r="E64" s="354"/>
      <c r="F64" s="354"/>
      <c r="G64" s="355"/>
    </row>
    <row r="65" spans="1:7">
      <c r="A65" s="351" t="s">
        <v>53</v>
      </c>
      <c r="B65" s="339"/>
      <c r="C65" s="339"/>
      <c r="D65" s="339"/>
      <c r="E65" s="339"/>
      <c r="F65" s="339"/>
      <c r="G65" s="352"/>
    </row>
    <row r="66" spans="1:7">
      <c r="A66" s="349" t="s">
        <v>83</v>
      </c>
      <c r="B66" s="350"/>
      <c r="C66" s="123" t="s">
        <v>126</v>
      </c>
      <c r="D66" s="123"/>
      <c r="E66" s="124"/>
      <c r="F66" s="125" t="s">
        <v>84</v>
      </c>
      <c r="G66" s="126" t="s">
        <v>117</v>
      </c>
    </row>
    <row r="67" spans="1:7">
      <c r="A67" s="105"/>
      <c r="G67" s="106"/>
    </row>
    <row r="68" spans="1:7">
      <c r="A68" s="107" t="s">
        <v>77</v>
      </c>
      <c r="B68" s="178" t="s">
        <v>36</v>
      </c>
      <c r="C68" s="108" t="s">
        <v>85</v>
      </c>
      <c r="D68" s="108" t="s">
        <v>86</v>
      </c>
      <c r="E68" s="108" t="s">
        <v>5</v>
      </c>
      <c r="F68" s="108" t="s">
        <v>87</v>
      </c>
      <c r="G68" s="109" t="s">
        <v>56</v>
      </c>
    </row>
    <row r="69" spans="1:7" ht="15.75">
      <c r="A69" s="107">
        <v>1</v>
      </c>
      <c r="B69" s="31">
        <v>45657</v>
      </c>
      <c r="C69" s="145" t="s">
        <v>134</v>
      </c>
      <c r="D69" s="111" t="s">
        <v>141</v>
      </c>
      <c r="E69" s="167" t="s">
        <v>148</v>
      </c>
      <c r="F69" s="108" t="s">
        <v>138</v>
      </c>
      <c r="G69" s="112">
        <v>40</v>
      </c>
    </row>
    <row r="70" spans="1:7" ht="15.75">
      <c r="A70" s="110">
        <v>2</v>
      </c>
      <c r="B70" s="31">
        <v>45657</v>
      </c>
      <c r="C70" s="111" t="s">
        <v>141</v>
      </c>
      <c r="D70" s="214" t="s">
        <v>134</v>
      </c>
      <c r="E70" s="102" t="s">
        <v>148</v>
      </c>
      <c r="F70" s="214" t="s">
        <v>138</v>
      </c>
      <c r="G70" s="214">
        <v>140</v>
      </c>
    </row>
    <row r="71" spans="1:7">
      <c r="A71" s="110"/>
      <c r="B71" s="147"/>
      <c r="C71" s="111"/>
      <c r="D71" s="111"/>
      <c r="E71" s="111"/>
      <c r="F71" s="111" t="s">
        <v>23</v>
      </c>
      <c r="G71" s="112">
        <f>SUM(G69:G70)</f>
        <v>180</v>
      </c>
    </row>
    <row r="72" spans="1:7">
      <c r="A72" s="105"/>
      <c r="G72" s="106"/>
    </row>
    <row r="73" spans="1:7">
      <c r="A73" s="113"/>
      <c r="B73" s="179"/>
      <c r="C73" s="114"/>
      <c r="D73" s="114"/>
      <c r="E73" s="114"/>
      <c r="F73" s="114"/>
      <c r="G73" s="115"/>
    </row>
    <row r="74" spans="1:7">
      <c r="A74" s="116" t="s">
        <v>78</v>
      </c>
      <c r="B74" s="180"/>
      <c r="C74" s="47"/>
      <c r="D74" s="47" t="s">
        <v>79</v>
      </c>
      <c r="E74" s="47"/>
      <c r="F74" s="47" t="s">
        <v>80</v>
      </c>
      <c r="G74" s="117"/>
    </row>
    <row r="75" spans="1:7" ht="15.75" thickBot="1">
      <c r="A75" s="127" t="s">
        <v>30</v>
      </c>
      <c r="B75" s="191"/>
      <c r="C75" s="128"/>
      <c r="D75" s="128" t="s">
        <v>81</v>
      </c>
      <c r="E75" s="129"/>
      <c r="F75" s="128" t="s">
        <v>82</v>
      </c>
      <c r="G75" s="130"/>
    </row>
    <row r="76" spans="1:7" ht="15.75" thickBot="1"/>
    <row r="77" spans="1:7">
      <c r="A77" s="353" t="s">
        <v>0</v>
      </c>
      <c r="B77" s="354"/>
      <c r="C77" s="354"/>
      <c r="D77" s="354"/>
      <c r="E77" s="354"/>
      <c r="F77" s="354"/>
      <c r="G77" s="355"/>
    </row>
    <row r="78" spans="1:7">
      <c r="A78" s="351" t="s">
        <v>128</v>
      </c>
      <c r="B78" s="339"/>
      <c r="C78" s="339"/>
      <c r="D78" s="339"/>
      <c r="E78" s="339"/>
      <c r="F78" s="339"/>
      <c r="G78" s="352"/>
    </row>
    <row r="79" spans="1:7">
      <c r="A79" s="349" t="s">
        <v>83</v>
      </c>
      <c r="B79" s="350"/>
      <c r="C79" s="123" t="s">
        <v>152</v>
      </c>
      <c r="D79" s="123"/>
      <c r="E79" s="124"/>
      <c r="F79" s="125" t="s">
        <v>84</v>
      </c>
      <c r="G79" s="126" t="s">
        <v>153</v>
      </c>
    </row>
    <row r="80" spans="1:7">
      <c r="A80" s="105"/>
      <c r="G80" s="106"/>
    </row>
    <row r="81" spans="1:7">
      <c r="A81" s="107" t="s">
        <v>77</v>
      </c>
      <c r="B81" s="178" t="s">
        <v>36</v>
      </c>
      <c r="C81" s="108" t="s">
        <v>85</v>
      </c>
      <c r="D81" s="108" t="s">
        <v>86</v>
      </c>
      <c r="E81" s="108" t="s">
        <v>5</v>
      </c>
      <c r="F81" s="108" t="s">
        <v>87</v>
      </c>
      <c r="G81" s="109" t="s">
        <v>56</v>
      </c>
    </row>
    <row r="82" spans="1:7">
      <c r="A82" s="110">
        <v>1</v>
      </c>
      <c r="B82" s="147">
        <v>45652</v>
      </c>
      <c r="C82" s="145" t="s">
        <v>134</v>
      </c>
      <c r="D82" s="111" t="s">
        <v>141</v>
      </c>
      <c r="E82" s="196" t="s">
        <v>134</v>
      </c>
      <c r="F82" s="108" t="s">
        <v>138</v>
      </c>
      <c r="G82" s="112">
        <v>50</v>
      </c>
    </row>
    <row r="83" spans="1:7">
      <c r="A83" s="110">
        <v>2</v>
      </c>
      <c r="B83" s="147">
        <v>45655</v>
      </c>
      <c r="C83" s="145" t="s">
        <v>134</v>
      </c>
      <c r="D83" s="111" t="s">
        <v>141</v>
      </c>
      <c r="E83" s="196" t="s">
        <v>134</v>
      </c>
      <c r="F83" s="108" t="s">
        <v>138</v>
      </c>
      <c r="G83" s="112">
        <v>40</v>
      </c>
    </row>
    <row r="84" spans="1:7">
      <c r="A84" s="110">
        <v>3</v>
      </c>
      <c r="B84" s="147">
        <v>45654</v>
      </c>
      <c r="C84" s="145" t="s">
        <v>141</v>
      </c>
      <c r="D84" s="111" t="s">
        <v>134</v>
      </c>
      <c r="E84" s="196" t="s">
        <v>134</v>
      </c>
      <c r="F84" s="108" t="s">
        <v>138</v>
      </c>
      <c r="G84" s="112">
        <v>180</v>
      </c>
    </row>
    <row r="85" spans="1:7">
      <c r="A85" s="110">
        <v>4</v>
      </c>
      <c r="B85" s="147">
        <v>45655</v>
      </c>
      <c r="C85" s="145" t="s">
        <v>141</v>
      </c>
      <c r="D85" s="111" t="s">
        <v>134</v>
      </c>
      <c r="E85" s="196" t="s">
        <v>134</v>
      </c>
      <c r="F85" s="108" t="s">
        <v>138</v>
      </c>
      <c r="G85" s="112">
        <v>150</v>
      </c>
    </row>
    <row r="86" spans="1:7">
      <c r="A86" s="298">
        <v>5</v>
      </c>
      <c r="B86" s="147">
        <v>45656</v>
      </c>
      <c r="C86" s="293"/>
      <c r="D86" s="294"/>
      <c r="E86" s="295"/>
      <c r="F86" s="296"/>
      <c r="G86" s="297"/>
    </row>
    <row r="87" spans="1:7">
      <c r="A87" s="346"/>
      <c r="B87" s="347"/>
      <c r="C87" s="347"/>
      <c r="D87" s="347"/>
      <c r="E87" s="347"/>
      <c r="F87" s="348"/>
      <c r="G87" s="102"/>
    </row>
    <row r="88" spans="1:7">
      <c r="A88" s="105"/>
      <c r="C88" s="184"/>
      <c r="D88" s="114"/>
      <c r="E88" s="165"/>
      <c r="F88" s="198" t="s">
        <v>144</v>
      </c>
      <c r="G88" s="117">
        <f>SUM(G82:G86)</f>
        <v>420</v>
      </c>
    </row>
    <row r="89" spans="1:7">
      <c r="A89" s="105"/>
      <c r="C89" s="184"/>
      <c r="D89" s="114"/>
      <c r="E89" s="165"/>
      <c r="G89" s="106"/>
    </row>
    <row r="90" spans="1:7">
      <c r="A90" s="105"/>
      <c r="C90" s="184"/>
      <c r="D90" s="114"/>
      <c r="E90" s="165"/>
      <c r="G90" s="106"/>
    </row>
    <row r="91" spans="1:7">
      <c r="A91" s="105"/>
      <c r="C91" s="184"/>
      <c r="D91" s="114"/>
      <c r="E91" s="165"/>
      <c r="G91" s="106"/>
    </row>
    <row r="92" spans="1:7">
      <c r="A92" s="113"/>
      <c r="B92" s="179"/>
      <c r="C92" s="114"/>
      <c r="D92" s="114"/>
      <c r="E92" s="114"/>
      <c r="F92" s="114"/>
      <c r="G92" s="115"/>
    </row>
    <row r="93" spans="1:7">
      <c r="A93" s="116" t="s">
        <v>78</v>
      </c>
      <c r="B93" s="180"/>
      <c r="C93" s="47"/>
      <c r="D93" s="47" t="s">
        <v>79</v>
      </c>
      <c r="E93" s="47"/>
      <c r="F93" s="47" t="s">
        <v>80</v>
      </c>
      <c r="G93" s="117"/>
    </row>
    <row r="94" spans="1:7" ht="15.75" thickBot="1">
      <c r="A94" s="127" t="s">
        <v>30</v>
      </c>
      <c r="B94" s="191"/>
      <c r="C94" s="128"/>
      <c r="D94" s="128" t="s">
        <v>81</v>
      </c>
      <c r="E94" s="129"/>
      <c r="F94" s="128" t="s">
        <v>82</v>
      </c>
      <c r="G94" s="130"/>
    </row>
  </sheetData>
  <mergeCells count="32">
    <mergeCell ref="I19:M19"/>
    <mergeCell ref="I31:O31"/>
    <mergeCell ref="I32:O32"/>
    <mergeCell ref="I33:J33"/>
    <mergeCell ref="A29:E30"/>
    <mergeCell ref="A37:B37"/>
    <mergeCell ref="A36:G36"/>
    <mergeCell ref="A35:G35"/>
    <mergeCell ref="A1:G1"/>
    <mergeCell ref="A2:G2"/>
    <mergeCell ref="A3:B3"/>
    <mergeCell ref="A16:B16"/>
    <mergeCell ref="A15:G15"/>
    <mergeCell ref="I13:J13"/>
    <mergeCell ref="I1:O1"/>
    <mergeCell ref="I2:O2"/>
    <mergeCell ref="I3:J3"/>
    <mergeCell ref="A14:G14"/>
    <mergeCell ref="I11:O11"/>
    <mergeCell ref="I12:O12"/>
    <mergeCell ref="A44:E44"/>
    <mergeCell ref="A87:F87"/>
    <mergeCell ref="A79:B79"/>
    <mergeCell ref="A78:G78"/>
    <mergeCell ref="A50:G50"/>
    <mergeCell ref="A51:G51"/>
    <mergeCell ref="A52:B52"/>
    <mergeCell ref="A58:E58"/>
    <mergeCell ref="A77:G77"/>
    <mergeCell ref="A66:B66"/>
    <mergeCell ref="A65:G65"/>
    <mergeCell ref="A64:G64"/>
  </mergeCells>
  <pageMargins left="0.7" right="0.7" top="0.75" bottom="0.75" header="0.3" footer="0.3"/>
  <pageSetup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I14" sqref="I14"/>
    </sheetView>
  </sheetViews>
  <sheetFormatPr defaultRowHeight="15"/>
  <cols>
    <col min="1" max="1" width="13.42578125" customWidth="1"/>
    <col min="2" max="2" width="9.140625" style="47"/>
    <col min="3" max="3" width="19.28515625" bestFit="1" customWidth="1"/>
    <col min="7" max="7" width="15.85546875" customWidth="1"/>
    <col min="8" max="8" width="10.28515625" customWidth="1"/>
  </cols>
  <sheetData>
    <row r="1" spans="1:12">
      <c r="A1" s="334" t="s">
        <v>53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</row>
    <row r="2" spans="1:12">
      <c r="A2" s="25"/>
      <c r="B2" s="24"/>
      <c r="C2" s="26"/>
      <c r="D2" s="26"/>
      <c r="E2" s="27"/>
      <c r="F2" s="27"/>
      <c r="G2" s="335" t="s">
        <v>35</v>
      </c>
      <c r="H2" s="336"/>
      <c r="I2" s="336"/>
      <c r="J2" s="336"/>
      <c r="K2" s="337"/>
      <c r="L2" s="24"/>
    </row>
    <row r="3" spans="1:12" ht="21">
      <c r="A3" s="141" t="s">
        <v>36</v>
      </c>
      <c r="B3" s="28" t="s">
        <v>114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>
      <c r="A4" s="29"/>
      <c r="B4" s="30"/>
      <c r="C4" s="30"/>
      <c r="D4" s="30">
        <f>SUM(D5:D101)</f>
        <v>9218</v>
      </c>
      <c r="E4" s="30">
        <f>SUM(E5:E101)</f>
        <v>600</v>
      </c>
      <c r="F4" s="30">
        <f t="shared" ref="F4" si="0">SUM(F6:F101)</f>
        <v>140</v>
      </c>
      <c r="G4" s="30"/>
      <c r="H4" s="30">
        <f>SUM(H6:H101)</f>
        <v>40</v>
      </c>
      <c r="I4" s="30">
        <f>SUM(I6:I101)</f>
        <v>0</v>
      </c>
      <c r="J4" s="30">
        <f>SUM(J5:J101)</f>
        <v>310</v>
      </c>
      <c r="K4" s="30">
        <f>SUM(K6:K101)</f>
        <v>0</v>
      </c>
      <c r="L4" s="30">
        <f>SUM(E4,F4,H4,I4,J4,K4)</f>
        <v>1090</v>
      </c>
    </row>
    <row r="5" spans="1:12" s="250" customFormat="1" ht="33.75" customHeight="1">
      <c r="A5" s="255">
        <v>45647</v>
      </c>
      <c r="B5" s="249">
        <v>8928</v>
      </c>
      <c r="C5" s="249" t="s">
        <v>177</v>
      </c>
      <c r="D5" s="249">
        <v>5943</v>
      </c>
      <c r="E5" s="249">
        <v>400</v>
      </c>
      <c r="F5" s="249"/>
      <c r="G5" s="323" t="s">
        <v>178</v>
      </c>
      <c r="H5" s="249"/>
      <c r="I5" s="249"/>
      <c r="J5" s="249">
        <v>160</v>
      </c>
      <c r="K5" s="249"/>
      <c r="L5" s="249"/>
    </row>
    <row r="6" spans="1:12">
      <c r="A6" s="255">
        <v>45655</v>
      </c>
      <c r="B6" s="256">
        <v>8957</v>
      </c>
      <c r="C6" s="249" t="s">
        <v>177</v>
      </c>
      <c r="D6" s="256">
        <v>3060</v>
      </c>
      <c r="E6" s="365">
        <v>200</v>
      </c>
      <c r="F6" s="256"/>
      <c r="G6" s="369" t="s">
        <v>235</v>
      </c>
      <c r="H6" s="257"/>
      <c r="I6" s="257"/>
      <c r="J6" s="367">
        <v>150</v>
      </c>
      <c r="K6" s="257"/>
      <c r="L6" s="258"/>
    </row>
    <row r="7" spans="1:12">
      <c r="A7" s="255">
        <v>45655</v>
      </c>
      <c r="B7" s="33">
        <v>8958</v>
      </c>
      <c r="C7" s="249" t="s">
        <v>177</v>
      </c>
      <c r="D7" s="33">
        <v>80</v>
      </c>
      <c r="E7" s="366"/>
      <c r="F7" s="33"/>
      <c r="G7" s="370"/>
      <c r="H7" s="34"/>
      <c r="I7" s="34"/>
      <c r="J7" s="368"/>
      <c r="K7" s="34"/>
      <c r="L7" s="35"/>
    </row>
    <row r="8" spans="1:12">
      <c r="A8" s="255">
        <v>45657</v>
      </c>
      <c r="B8" s="33">
        <v>8975</v>
      </c>
      <c r="C8" s="249" t="s">
        <v>177</v>
      </c>
      <c r="D8" s="33">
        <v>45</v>
      </c>
      <c r="E8" s="33"/>
      <c r="F8" s="361">
        <v>140</v>
      </c>
      <c r="G8" s="361" t="s">
        <v>126</v>
      </c>
      <c r="H8" s="363">
        <v>40</v>
      </c>
      <c r="I8" s="34"/>
      <c r="J8" s="34"/>
      <c r="K8" s="34"/>
      <c r="L8" s="35"/>
    </row>
    <row r="9" spans="1:12">
      <c r="A9" s="255">
        <v>45657</v>
      </c>
      <c r="B9" s="33">
        <v>8971</v>
      </c>
      <c r="C9" s="249" t="s">
        <v>177</v>
      </c>
      <c r="D9" s="33">
        <v>90</v>
      </c>
      <c r="E9" s="33"/>
      <c r="F9" s="362"/>
      <c r="G9" s="362"/>
      <c r="H9" s="364"/>
      <c r="I9" s="34"/>
      <c r="J9" s="34"/>
      <c r="K9" s="34"/>
      <c r="L9" s="35"/>
    </row>
    <row r="10" spans="1:12" ht="15.75">
      <c r="A10" s="31"/>
      <c r="B10" s="33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>
      <c r="A11" s="31"/>
      <c r="B11" s="33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>
      <c r="A12" s="31"/>
      <c r="B12" s="33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>
      <c r="A13" s="31"/>
      <c r="B13" s="33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>
      <c r="A14" s="31"/>
      <c r="B14" s="33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>
      <c r="A15" s="31"/>
      <c r="B15" s="33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>
      <c r="A16" s="31"/>
      <c r="B16" s="33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>
      <c r="A17" s="31"/>
      <c r="B17" s="33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>
      <c r="A18" s="31"/>
      <c r="B18" s="33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>
      <c r="A19" s="31"/>
      <c r="B19" s="33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>
      <c r="A20" s="31"/>
      <c r="B20" s="33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>
      <c r="A21" s="31"/>
      <c r="B21" s="33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>
      <c r="A22" s="31"/>
      <c r="B22" s="33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>
      <c r="A23" s="31"/>
      <c r="B23" s="33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>
      <c r="A24" s="31"/>
      <c r="B24" s="33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>
      <c r="A25" s="31"/>
      <c r="B25" s="33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>
      <c r="A26" s="31"/>
      <c r="B26" s="33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>
      <c r="A27" s="31"/>
      <c r="B27" s="33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>
      <c r="A28" s="31"/>
      <c r="B28" s="33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>
      <c r="A29" s="31"/>
      <c r="B29" s="33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>
      <c r="A30" s="31"/>
      <c r="B30" s="33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>
      <c r="A31" s="31"/>
      <c r="B31" s="33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>
      <c r="A32" s="31"/>
      <c r="B32" s="33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>
      <c r="A33" s="31"/>
      <c r="B33" s="33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>
      <c r="A34" s="31"/>
      <c r="B34" s="33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>
      <c r="A35" s="31"/>
      <c r="B35" s="33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>
      <c r="A36" s="31"/>
      <c r="B36" s="33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>
      <c r="A37" s="31"/>
      <c r="B37" s="33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>
      <c r="A38" s="31"/>
      <c r="B38" s="33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>
      <c r="A39" s="31"/>
      <c r="B39" s="33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>
      <c r="A40" s="31"/>
      <c r="B40" s="33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>
      <c r="A41" s="31"/>
      <c r="B41" s="33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>
      <c r="A42" s="31"/>
      <c r="B42" s="33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>
      <c r="A43" s="31"/>
      <c r="B43" s="33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>
      <c r="A44" s="31"/>
      <c r="B44" s="33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>
      <c r="A45" s="31"/>
      <c r="B45" s="33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>
      <c r="A46" s="31"/>
      <c r="B46" s="33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>
      <c r="A47" s="31"/>
      <c r="B47" s="33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>
      <c r="A48" s="31"/>
      <c r="B48" s="33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>
      <c r="A49" s="31"/>
      <c r="B49" s="33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>
      <c r="A50" s="31"/>
      <c r="B50" s="33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>
      <c r="A51" s="31"/>
      <c r="B51" s="33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>
      <c r="A52" s="31"/>
      <c r="B52" s="33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>
      <c r="A53" s="31"/>
      <c r="B53" s="33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>
      <c r="A54" s="31"/>
      <c r="B54" s="33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>
      <c r="A55" s="31"/>
      <c r="B55" s="33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>
      <c r="A56" s="31"/>
      <c r="B56" s="33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>
      <c r="A57" s="31"/>
      <c r="B57" s="33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>
      <c r="A58" s="31"/>
      <c r="B58" s="33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>
      <c r="A59" s="31"/>
      <c r="B59" s="33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>
      <c r="A60" s="31"/>
      <c r="B60" s="33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>
      <c r="A61" s="31"/>
      <c r="B61" s="33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>
      <c r="A62" s="31"/>
      <c r="B62" s="33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>
      <c r="A63" s="31"/>
      <c r="B63" s="33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>
      <c r="A64" s="31"/>
      <c r="B64" s="33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>
      <c r="A65" s="31"/>
      <c r="B65" s="33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>
      <c r="A66" s="31"/>
      <c r="B66" s="33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>
      <c r="A67" s="31"/>
      <c r="B67" s="33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>
      <c r="A68" s="31"/>
      <c r="B68" s="33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>
      <c r="A69" s="31"/>
      <c r="B69" s="33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>
      <c r="A70" s="31"/>
      <c r="B70" s="33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>
      <c r="A71" s="31"/>
      <c r="B71" s="33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>
      <c r="A72" s="31"/>
      <c r="B72" s="33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>
      <c r="A73" s="31"/>
      <c r="B73" s="33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>
      <c r="A74" s="31"/>
      <c r="B74" s="33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>
      <c r="A75" s="31"/>
      <c r="B75" s="33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>
      <c r="A76" s="31"/>
      <c r="B76" s="33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>
      <c r="A77" s="31"/>
      <c r="B77" s="33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>
      <c r="A78" s="31"/>
      <c r="B78" s="33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>
      <c r="A79" s="31"/>
      <c r="B79" s="33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>
      <c r="A80" s="31"/>
      <c r="B80" s="33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>
      <c r="A81" s="31"/>
      <c r="B81" s="33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>
      <c r="A82" s="31"/>
      <c r="B82" s="33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>
      <c r="A83" s="31"/>
      <c r="B83" s="33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>
      <c r="A84" s="31"/>
      <c r="B84" s="33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>
      <c r="A85" s="31"/>
      <c r="B85" s="33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>
      <c r="A86" s="31"/>
      <c r="B86" s="33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>
      <c r="A87" s="31"/>
      <c r="B87" s="33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>
      <c r="A88" s="31"/>
      <c r="B88" s="33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>
      <c r="A89" s="31"/>
      <c r="B89" s="33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>
      <c r="A90" s="31"/>
      <c r="B90" s="33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>
      <c r="A91" s="31"/>
      <c r="B91" s="33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>
      <c r="A92" s="31"/>
      <c r="B92" s="33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>
      <c r="A93" s="31"/>
      <c r="B93" s="33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>
      <c r="A94" s="31"/>
      <c r="B94" s="33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>
      <c r="A95" s="31"/>
      <c r="B95" s="33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>
      <c r="A96" s="31"/>
      <c r="B96" s="33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>
      <c r="A97" s="31"/>
      <c r="B97" s="33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>
      <c r="A98" s="31"/>
      <c r="B98" s="33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>
      <c r="A99" s="31"/>
      <c r="B99" s="33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>
      <c r="A100" s="31"/>
      <c r="B100" s="33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>
      <c r="A101" s="31"/>
      <c r="B101" s="33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>
      <c r="A102" s="31"/>
      <c r="B102" s="33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>
      <c r="A103" s="31"/>
      <c r="B103" s="33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>
      <c r="A104" s="31"/>
      <c r="B104" s="33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>
      <c r="A105" s="31"/>
      <c r="B105" s="33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>
      <c r="A106" s="31"/>
      <c r="B106" s="33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>
      <c r="A107" s="31"/>
      <c r="B107" s="33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>
      <c r="A108" s="31"/>
      <c r="B108" s="33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>
      <c r="A109" s="31"/>
      <c r="B109" s="33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>
      <c r="A110" s="31"/>
      <c r="B110" s="33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>
      <c r="A111" s="31"/>
      <c r="B111" s="33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>
      <c r="A112" s="31"/>
      <c r="B112" s="33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>
      <c r="A113" s="31"/>
      <c r="B113" s="33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>
      <c r="A114" s="31"/>
      <c r="B114" s="33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>
      <c r="A115" s="31"/>
      <c r="B115" s="33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>
      <c r="A116" s="31"/>
      <c r="B116" s="33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>
      <c r="A117" s="31"/>
      <c r="B117" s="33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>
      <c r="A118" s="31"/>
      <c r="B118" s="33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>
      <c r="A119" s="31"/>
      <c r="B119" s="33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>
      <c r="A120" s="31"/>
      <c r="B120" s="33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>
      <c r="A121" s="31"/>
      <c r="B121" s="33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>
      <c r="A122" s="31"/>
      <c r="B122" s="33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>
      <c r="A123" s="31"/>
      <c r="B123" s="33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>
      <c r="A124" s="31"/>
      <c r="B124" s="33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>
      <c r="A125" s="31"/>
      <c r="B125" s="33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>
      <c r="A126" s="31"/>
      <c r="B126" s="33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>
      <c r="A127" s="31"/>
      <c r="B127" s="33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>
      <c r="A128" s="31"/>
      <c r="B128" s="33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>
      <c r="A129" s="31"/>
      <c r="B129" s="33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>
      <c r="A130" s="31"/>
      <c r="B130" s="33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>
      <c r="A131" s="31"/>
      <c r="B131" s="33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>
      <c r="A132" s="31"/>
      <c r="B132" s="33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>
      <c r="A133" s="31"/>
      <c r="B133" s="33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>
      <c r="A134" s="31"/>
      <c r="B134" s="33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>
      <c r="A135" s="31"/>
      <c r="B135" s="33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>
      <c r="A136" s="31"/>
      <c r="B136" s="33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>
      <c r="A137" s="31"/>
      <c r="B137" s="33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>
      <c r="A138" s="31"/>
      <c r="B138" s="33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>
      <c r="A139" s="31"/>
      <c r="B139" s="33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>
      <c r="A140" s="31"/>
      <c r="B140" s="33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>
      <c r="A141" s="31"/>
      <c r="B141" s="33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>
      <c r="A142" s="31"/>
      <c r="B142" s="33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>
      <c r="A143" s="31"/>
      <c r="B143" s="33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>
      <c r="A144" s="31"/>
      <c r="B144" s="33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>
      <c r="A145" s="31"/>
      <c r="B145" s="33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>
      <c r="A146" s="31"/>
      <c r="B146" s="33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>
      <c r="A147" s="31"/>
      <c r="B147" s="33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>
      <c r="A148" s="31"/>
      <c r="B148" s="33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>
      <c r="A149" s="31"/>
      <c r="B149" s="33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>
      <c r="A150" s="31"/>
      <c r="B150" s="33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>
      <c r="A151" s="31"/>
      <c r="B151" s="33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>
      <c r="A152" s="31"/>
      <c r="B152" s="33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>
      <c r="A153" s="31"/>
      <c r="B153" s="33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>
      <c r="A154" s="31"/>
      <c r="B154" s="33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>
      <c r="A155" s="31"/>
      <c r="B155" s="33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>
      <c r="A156" s="31"/>
      <c r="B156" s="33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>
      <c r="A157" s="31"/>
      <c r="B157" s="33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>
      <c r="A158" s="31"/>
      <c r="B158" s="33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>
      <c r="A159" s="31"/>
      <c r="B159" s="33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>
      <c r="A160" s="31"/>
      <c r="B160" s="33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>
      <c r="A161" s="31"/>
      <c r="B161" s="33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>
      <c r="A162" s="31"/>
      <c r="B162" s="33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>
      <c r="A163" s="31"/>
      <c r="B163" s="33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>
      <c r="A164" s="31"/>
      <c r="B164" s="33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>
      <c r="A165" s="31"/>
      <c r="B165" s="33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>
      <c r="A166" s="31"/>
      <c r="B166" s="33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>
      <c r="A167" s="31"/>
      <c r="B167" s="33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>
      <c r="A168" s="31"/>
      <c r="B168" s="33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>
      <c r="A169" s="31"/>
      <c r="B169" s="33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>
      <c r="A170" s="31"/>
      <c r="B170" s="33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8">
    <mergeCell ref="G8:G9"/>
    <mergeCell ref="F8:F9"/>
    <mergeCell ref="H8:H9"/>
    <mergeCell ref="A1:L1"/>
    <mergeCell ref="G2:K2"/>
    <mergeCell ref="E6:E7"/>
    <mergeCell ref="J6:J7"/>
    <mergeCell ref="G6:G7"/>
  </mergeCells>
  <pageMargins left="0.25" right="0.25" top="0.75" bottom="0.75" header="0.3" footer="0.3"/>
  <pageSetup paperSize="9" scale="7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5"/>
    </sheetView>
  </sheetViews>
  <sheetFormatPr defaultRowHeight="1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>
      <c r="A1" s="45"/>
      <c r="B1" s="371" t="s">
        <v>54</v>
      </c>
      <c r="C1" s="371"/>
      <c r="D1" s="371"/>
      <c r="E1" s="46"/>
    </row>
    <row r="2" spans="1:6">
      <c r="A2" s="45"/>
      <c r="B2" s="371"/>
      <c r="C2" s="371"/>
      <c r="D2" s="371"/>
      <c r="E2" s="46"/>
    </row>
    <row r="3" spans="1:6">
      <c r="A3" s="47"/>
      <c r="B3" s="47"/>
      <c r="C3" s="48" t="s">
        <v>23</v>
      </c>
      <c r="D3" s="48">
        <f>SUM(D5:D37)</f>
        <v>40</v>
      </c>
      <c r="E3" s="47"/>
    </row>
    <row r="4" spans="1:6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50" customFormat="1">
      <c r="A5" s="260">
        <v>45652</v>
      </c>
      <c r="B5" s="261" t="s">
        <v>150</v>
      </c>
      <c r="C5" s="261" t="s">
        <v>134</v>
      </c>
      <c r="D5" s="261">
        <v>40</v>
      </c>
      <c r="E5" s="253"/>
    </row>
    <row r="6" spans="1:6" ht="32.25" customHeight="1">
      <c r="A6" s="260"/>
      <c r="B6" s="261"/>
      <c r="C6" s="261"/>
      <c r="D6" s="261"/>
      <c r="E6" s="253"/>
    </row>
    <row r="7" spans="1:6">
      <c r="A7" s="260"/>
      <c r="B7" s="261"/>
      <c r="C7" s="261"/>
      <c r="D7" s="261"/>
      <c r="E7" s="262"/>
    </row>
    <row r="8" spans="1:6">
      <c r="A8" s="259"/>
      <c r="B8" s="252"/>
      <c r="C8" s="252"/>
      <c r="D8" s="252"/>
      <c r="E8" s="253"/>
    </row>
    <row r="9" spans="1:6">
      <c r="A9" s="226"/>
      <c r="B9" s="102"/>
      <c r="C9" s="102"/>
      <c r="D9" s="214"/>
      <c r="E9" s="54"/>
    </row>
    <row r="10" spans="1:6">
      <c r="A10" s="226"/>
      <c r="B10" s="102"/>
      <c r="C10" s="102"/>
      <c r="D10" s="214"/>
      <c r="E10" s="76"/>
    </row>
    <row r="11" spans="1:6">
      <c r="A11" s="226"/>
      <c r="B11" s="213"/>
      <c r="C11" s="211"/>
      <c r="D11" s="254"/>
      <c r="E11" s="75"/>
    </row>
    <row r="12" spans="1:6">
      <c r="A12" s="226"/>
      <c r="B12" s="203"/>
      <c r="C12" s="204"/>
      <c r="D12" s="205"/>
      <c r="E12" s="54"/>
      <c r="F12" s="73"/>
    </row>
    <row r="13" spans="1:6">
      <c r="A13" s="226"/>
      <c r="B13" s="203"/>
      <c r="C13" s="204"/>
      <c r="D13" s="205"/>
      <c r="E13" s="54"/>
      <c r="F13" s="73"/>
    </row>
    <row r="14" spans="1:6">
      <c r="A14" s="202"/>
      <c r="B14" s="203"/>
      <c r="C14" s="204"/>
      <c r="D14" s="205"/>
      <c r="E14" s="54"/>
      <c r="F14" s="73"/>
    </row>
    <row r="15" spans="1:6">
      <c r="A15" s="210"/>
      <c r="B15" s="211"/>
      <c r="C15" s="211"/>
      <c r="D15" s="212"/>
      <c r="E15" s="76"/>
    </row>
    <row r="16" spans="1:6">
      <c r="A16" s="210"/>
      <c r="B16" s="211"/>
      <c r="C16" s="211"/>
      <c r="D16" s="212"/>
      <c r="E16" s="76"/>
    </row>
    <row r="17" spans="1:5">
      <c r="A17" s="210"/>
      <c r="B17" s="211"/>
      <c r="C17" s="211"/>
      <c r="D17" s="212"/>
      <c r="E17" s="76"/>
    </row>
    <row r="18" spans="1:5">
      <c r="A18" s="56"/>
      <c r="B18" s="54"/>
      <c r="C18" s="54"/>
      <c r="D18" s="54"/>
      <c r="E18" s="54"/>
    </row>
    <row r="19" spans="1:5">
      <c r="A19" s="56"/>
      <c r="B19" s="54"/>
      <c r="C19" s="54"/>
      <c r="D19" s="54"/>
      <c r="E19" s="54"/>
    </row>
    <row r="20" spans="1:5">
      <c r="A20" s="56"/>
      <c r="B20" s="54"/>
      <c r="C20" s="54"/>
      <c r="D20" s="54"/>
      <c r="E20" s="54"/>
    </row>
    <row r="21" spans="1:5">
      <c r="A21" s="56"/>
      <c r="B21" s="54"/>
      <c r="C21" s="54"/>
      <c r="D21" s="54"/>
      <c r="E21" s="54"/>
    </row>
    <row r="22" spans="1:5">
      <c r="A22" s="56"/>
      <c r="B22" s="54"/>
      <c r="C22" s="54"/>
      <c r="D22" s="54"/>
      <c r="E22" s="54"/>
    </row>
    <row r="23" spans="1:5">
      <c r="A23" s="56"/>
      <c r="B23" s="54"/>
      <c r="C23" s="54"/>
      <c r="D23" s="54"/>
      <c r="E23" s="54"/>
    </row>
    <row r="24" spans="1:5">
      <c r="A24" s="56"/>
      <c r="B24" s="54"/>
      <c r="C24" s="54"/>
      <c r="D24" s="54"/>
      <c r="E24" s="54"/>
    </row>
    <row r="25" spans="1:5">
      <c r="A25" s="56"/>
      <c r="B25" s="54"/>
      <c r="C25" s="54"/>
      <c r="D25" s="54"/>
      <c r="E25" s="54"/>
    </row>
    <row r="26" spans="1:5">
      <c r="A26" s="56"/>
      <c r="B26" s="54"/>
      <c r="C26" s="54"/>
      <c r="D26" s="54"/>
      <c r="E26" s="54"/>
    </row>
    <row r="27" spans="1:5">
      <c r="A27" s="56"/>
      <c r="B27" s="54"/>
      <c r="C27" s="54"/>
      <c r="D27" s="54"/>
      <c r="E27" s="54"/>
    </row>
    <row r="28" spans="1:5">
      <c r="A28" s="56"/>
      <c r="B28" s="54"/>
      <c r="C28" s="54"/>
      <c r="D28" s="54"/>
      <c r="E28" s="54"/>
    </row>
    <row r="29" spans="1:5">
      <c r="A29" s="56"/>
      <c r="B29" s="54"/>
      <c r="C29" s="54"/>
      <c r="D29" s="54"/>
      <c r="E29" s="54"/>
    </row>
    <row r="30" spans="1:5">
      <c r="A30" s="56"/>
      <c r="B30" s="54"/>
      <c r="C30" s="54"/>
      <c r="D30" s="54"/>
      <c r="E30" s="54"/>
    </row>
    <row r="31" spans="1:5">
      <c r="A31" s="56"/>
      <c r="B31" s="54"/>
      <c r="C31" s="54"/>
      <c r="D31" s="54"/>
      <c r="E31" s="54"/>
    </row>
    <row r="32" spans="1:5">
      <c r="A32" s="56"/>
      <c r="B32" s="54"/>
      <c r="C32" s="54"/>
      <c r="D32" s="54"/>
      <c r="E32" s="54"/>
    </row>
    <row r="33" spans="1:5">
      <c r="A33" s="56"/>
      <c r="B33" s="54"/>
      <c r="C33" s="54"/>
      <c r="D33" s="54"/>
      <c r="E33" s="54"/>
    </row>
    <row r="34" spans="1:5">
      <c r="A34" s="56"/>
      <c r="B34" s="54"/>
      <c r="C34" s="54"/>
      <c r="D34" s="54"/>
      <c r="E34" s="54"/>
    </row>
    <row r="35" spans="1:5">
      <c r="A35" s="56"/>
      <c r="B35" s="54"/>
      <c r="C35" s="54"/>
      <c r="D35" s="54"/>
      <c r="E35" s="54"/>
    </row>
    <row r="36" spans="1:5">
      <c r="A36" s="56"/>
      <c r="B36" s="54"/>
      <c r="C36" s="54"/>
      <c r="D36" s="54"/>
      <c r="E36" s="54"/>
    </row>
    <row r="37" spans="1: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F14" sqref="F14"/>
    </sheetView>
  </sheetViews>
  <sheetFormatPr defaultRowHeight="1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>
      <c r="A1" s="45"/>
      <c r="B1" s="371" t="s">
        <v>58</v>
      </c>
      <c r="C1" s="371"/>
      <c r="D1" s="281"/>
      <c r="E1" s="281"/>
      <c r="F1" s="58"/>
      <c r="G1" s="46"/>
    </row>
    <row r="2" spans="1:17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30">
      <c r="A4" s="52" t="s">
        <v>154</v>
      </c>
      <c r="B4" s="53" t="s">
        <v>155</v>
      </c>
      <c r="C4" s="282">
        <v>44957</v>
      </c>
      <c r="D4" s="283" t="s">
        <v>156</v>
      </c>
      <c r="E4" s="55" t="s">
        <v>157</v>
      </c>
      <c r="F4" s="55"/>
      <c r="G4" s="54" t="s">
        <v>158</v>
      </c>
    </row>
    <row r="5" spans="1:17">
      <c r="A5" s="56" t="s">
        <v>159</v>
      </c>
      <c r="B5" s="57" t="s">
        <v>160</v>
      </c>
      <c r="C5" s="282">
        <v>44957</v>
      </c>
      <c r="D5" s="54"/>
      <c r="E5" s="54"/>
      <c r="F5" s="55"/>
      <c r="G5" s="54" t="s">
        <v>158</v>
      </c>
    </row>
    <row r="6" spans="1:17">
      <c r="K6" s="52"/>
      <c r="L6" s="53"/>
      <c r="M6" s="282"/>
      <c r="N6" s="283"/>
      <c r="O6" s="55"/>
      <c r="P6" s="55"/>
      <c r="Q6" s="54"/>
    </row>
    <row r="7" spans="1:17">
      <c r="K7" s="56"/>
      <c r="L7" s="57"/>
      <c r="M7" s="282"/>
      <c r="N7" s="54"/>
      <c r="O7" s="54"/>
      <c r="P7" s="55"/>
      <c r="Q7" s="54"/>
    </row>
    <row r="9" spans="1:17">
      <c r="F9" t="s">
        <v>161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>
      <c r="A1" s="372" t="s">
        <v>61</v>
      </c>
      <c r="B1" s="373"/>
      <c r="C1" s="373"/>
      <c r="D1" s="374"/>
      <c r="E1" s="374"/>
      <c r="F1" s="375"/>
    </row>
    <row r="2" spans="1:6">
      <c r="A2" s="60"/>
      <c r="B2" s="60"/>
      <c r="C2" s="60"/>
      <c r="D2" s="61" t="s">
        <v>23</v>
      </c>
      <c r="E2" s="62">
        <f>SUM(E4:E25)</f>
        <v>0</v>
      </c>
      <c r="F2" s="60"/>
    </row>
    <row r="3" spans="1:6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>
      <c r="A4" s="56"/>
      <c r="B4" s="54"/>
      <c r="C4" s="54"/>
      <c r="D4" s="54"/>
      <c r="E4" s="54"/>
      <c r="F4" s="54"/>
    </row>
    <row r="5" spans="1:6">
      <c r="A5" s="56"/>
      <c r="B5" s="54"/>
      <c r="C5" s="54"/>
      <c r="D5" s="55"/>
      <c r="E5" s="55"/>
      <c r="F5" s="54"/>
    </row>
    <row r="6" spans="1:6">
      <c r="A6" s="56"/>
      <c r="B6" s="54"/>
      <c r="C6" s="54"/>
      <c r="D6" s="54"/>
      <c r="E6" s="54"/>
      <c r="F6" s="54"/>
    </row>
    <row r="7" spans="1:6">
      <c r="A7" s="56"/>
      <c r="B7" s="54"/>
      <c r="C7" s="54"/>
      <c r="D7" s="54"/>
      <c r="E7" s="54"/>
      <c r="F7" s="54"/>
    </row>
    <row r="8" spans="1:6">
      <c r="A8" s="56"/>
      <c r="B8" s="54"/>
      <c r="C8" s="54"/>
      <c r="D8" s="54"/>
      <c r="E8" s="54"/>
      <c r="F8" s="54"/>
    </row>
    <row r="9" spans="1:6">
      <c r="A9" s="56"/>
      <c r="B9" s="54"/>
      <c r="C9" s="54"/>
      <c r="D9" s="54"/>
      <c r="E9" s="54"/>
      <c r="F9" s="54"/>
    </row>
    <row r="10" spans="1:6">
      <c r="A10" s="56"/>
      <c r="B10" s="54"/>
      <c r="C10" s="54"/>
      <c r="D10" s="54"/>
      <c r="E10" s="54"/>
      <c r="F10" s="54"/>
    </row>
    <row r="11" spans="1:6">
      <c r="A11" s="56"/>
      <c r="B11" s="54"/>
      <c r="C11" s="54"/>
      <c r="D11" s="54"/>
      <c r="E11" s="54"/>
      <c r="F11" s="54"/>
    </row>
    <row r="12" spans="1:6">
      <c r="A12" s="56"/>
      <c r="B12" s="54"/>
      <c r="C12" s="54"/>
      <c r="D12" s="54"/>
      <c r="E12" s="54"/>
      <c r="F12" s="54"/>
    </row>
    <row r="13" spans="1:6">
      <c r="A13" s="56"/>
      <c r="B13" s="54"/>
      <c r="C13" s="54"/>
      <c r="D13" s="54"/>
      <c r="E13" s="54"/>
      <c r="F13" s="54"/>
    </row>
    <row r="14" spans="1:6">
      <c r="A14" s="56"/>
      <c r="B14" s="54"/>
      <c r="C14" s="54"/>
      <c r="D14" s="54"/>
      <c r="E14" s="54"/>
      <c r="F14" s="54"/>
    </row>
    <row r="15" spans="1:6">
      <c r="A15" s="56"/>
      <c r="B15" s="54"/>
      <c r="C15" s="54"/>
      <c r="D15" s="54"/>
      <c r="E15" s="54"/>
      <c r="F15" s="54"/>
    </row>
    <row r="16" spans="1:6">
      <c r="A16" s="56"/>
      <c r="B16" s="54"/>
      <c r="C16" s="54"/>
      <c r="D16" s="54"/>
      <c r="E16" s="54"/>
      <c r="F16" s="54"/>
    </row>
    <row r="17" spans="1:6">
      <c r="A17" s="56"/>
      <c r="B17" s="54"/>
      <c r="C17" s="54"/>
      <c r="D17" s="54"/>
      <c r="E17" s="54"/>
      <c r="F17" s="54"/>
    </row>
    <row r="18" spans="1:6">
      <c r="A18" s="56"/>
      <c r="B18" s="54"/>
      <c r="C18" s="54"/>
      <c r="D18" s="54"/>
      <c r="E18" s="54"/>
      <c r="F18" s="54"/>
    </row>
    <row r="19" spans="1:6">
      <c r="A19" s="56"/>
      <c r="B19" s="54"/>
      <c r="C19" s="54"/>
      <c r="D19" s="54"/>
      <c r="E19" s="54"/>
      <c r="F19" s="54"/>
    </row>
    <row r="20" spans="1:6">
      <c r="A20" s="56"/>
      <c r="B20" s="54"/>
      <c r="C20" s="54"/>
      <c r="D20" s="54"/>
      <c r="E20" s="54"/>
      <c r="F20" s="54"/>
    </row>
    <row r="21" spans="1:6">
      <c r="A21" s="56"/>
      <c r="B21" s="54"/>
      <c r="C21" s="54"/>
      <c r="D21" s="54"/>
      <c r="E21" s="54"/>
      <c r="F21" s="54"/>
    </row>
    <row r="22" spans="1:6">
      <c r="A22" s="56"/>
      <c r="B22" s="54"/>
      <c r="C22" s="54"/>
      <c r="D22" s="54"/>
      <c r="E22" s="54"/>
      <c r="F22" s="54"/>
    </row>
    <row r="23" spans="1:6">
      <c r="A23" s="56"/>
      <c r="B23" s="54"/>
      <c r="C23" s="54"/>
      <c r="D23" s="54"/>
      <c r="E23" s="54"/>
      <c r="F23" s="54"/>
    </row>
    <row r="24" spans="1:6">
      <c r="A24" s="56"/>
      <c r="B24" s="54"/>
      <c r="C24" s="54"/>
      <c r="D24" s="54"/>
      <c r="E24" s="54"/>
      <c r="F24" s="54"/>
    </row>
    <row r="25" spans="1:6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>
      <c r="A1" s="65"/>
      <c r="B1" s="376" t="s">
        <v>63</v>
      </c>
      <c r="C1" s="377"/>
      <c r="D1" s="377"/>
      <c r="E1" s="377"/>
      <c r="F1" s="67"/>
    </row>
    <row r="2" spans="1:6" ht="21">
      <c r="A2" s="65"/>
      <c r="B2" s="66"/>
      <c r="C2" s="65"/>
      <c r="D2" s="68" t="s">
        <v>23</v>
      </c>
      <c r="E2" s="69">
        <f>SUM(E4:E23)</f>
        <v>0</v>
      </c>
      <c r="F2" s="67"/>
    </row>
    <row r="3" spans="1:6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>
      <c r="A4" s="206"/>
      <c r="B4" s="207"/>
      <c r="C4" s="208"/>
      <c r="D4" s="209"/>
      <c r="E4" s="76"/>
      <c r="F4" s="73"/>
    </row>
    <row r="5" spans="1:6">
      <c r="A5" s="206"/>
      <c r="B5" s="207"/>
      <c r="C5" s="211"/>
      <c r="D5" s="212"/>
      <c r="E5" s="76"/>
      <c r="F5" s="73"/>
    </row>
    <row r="6" spans="1:6">
      <c r="A6" s="206"/>
      <c r="F6" s="74"/>
    </row>
    <row r="7" spans="1:6">
      <c r="A7" s="206"/>
      <c r="B7" s="73"/>
      <c r="C7" s="73"/>
      <c r="D7" s="76"/>
      <c r="E7" s="76"/>
      <c r="F7" s="73"/>
    </row>
    <row r="8" spans="1:6">
      <c r="A8" s="102"/>
      <c r="B8" s="102"/>
      <c r="C8" s="102"/>
      <c r="D8" s="214"/>
      <c r="E8" s="214"/>
      <c r="F8" s="102"/>
    </row>
    <row r="9" spans="1:6">
      <c r="A9" s="102"/>
      <c r="B9" s="102"/>
      <c r="C9" s="102"/>
      <c r="D9" s="214"/>
      <c r="E9" s="214"/>
      <c r="F9" s="102"/>
    </row>
    <row r="10" spans="1:6">
      <c r="A10" s="72"/>
      <c r="B10" s="73"/>
      <c r="C10" s="73"/>
      <c r="D10" s="76"/>
      <c r="E10" s="76"/>
      <c r="F10" s="102"/>
    </row>
    <row r="11" spans="1:6" ht="15.75">
      <c r="A11" s="72"/>
      <c r="B11" s="73"/>
      <c r="C11" s="73"/>
      <c r="D11" s="76"/>
      <c r="E11" s="200"/>
      <c r="F11" s="73"/>
    </row>
    <row r="12" spans="1:6">
      <c r="A12" s="72"/>
      <c r="B12" s="73"/>
      <c r="C12" s="73"/>
      <c r="D12" s="76"/>
      <c r="E12" s="76"/>
      <c r="F12" s="73"/>
    </row>
    <row r="13" spans="1:6">
      <c r="A13" s="72"/>
      <c r="B13" s="73"/>
      <c r="C13" s="73"/>
      <c r="D13" s="76"/>
      <c r="E13" s="76"/>
      <c r="F13" s="73"/>
    </row>
    <row r="14" spans="1:6">
      <c r="A14" s="72"/>
      <c r="B14" s="73"/>
      <c r="C14" s="73"/>
      <c r="D14" s="76"/>
      <c r="E14" s="76"/>
      <c r="F14" s="73"/>
    </row>
    <row r="15" spans="1:6">
      <c r="A15" s="72"/>
      <c r="B15" s="73"/>
      <c r="C15" s="73"/>
      <c r="D15" s="76"/>
      <c r="E15" s="76"/>
      <c r="F15" s="73"/>
    </row>
    <row r="16" spans="1:6">
      <c r="A16" s="72"/>
      <c r="B16" s="73"/>
      <c r="C16" s="73"/>
      <c r="D16" s="76"/>
      <c r="E16" s="76"/>
      <c r="F16" s="73"/>
    </row>
    <row r="17" spans="1:6">
      <c r="A17" s="72"/>
      <c r="B17" s="73"/>
      <c r="C17" s="73"/>
      <c r="D17" s="76"/>
      <c r="E17" s="76"/>
      <c r="F17" s="73"/>
    </row>
    <row r="18" spans="1:6">
      <c r="A18" s="72"/>
      <c r="B18" s="73"/>
      <c r="C18" s="73"/>
      <c r="D18" s="76"/>
      <c r="E18" s="76"/>
      <c r="F18" s="73"/>
    </row>
    <row r="19" spans="1:6">
      <c r="A19" s="72"/>
      <c r="B19" s="73"/>
      <c r="C19" s="73"/>
      <c r="D19" s="76"/>
      <c r="E19" s="76"/>
      <c r="F19" s="73"/>
    </row>
    <row r="20" spans="1:6">
      <c r="A20" s="72"/>
      <c r="B20" s="73"/>
      <c r="C20" s="73"/>
      <c r="D20" s="76"/>
      <c r="E20" s="76"/>
      <c r="F20" s="73"/>
    </row>
    <row r="21" spans="1:6">
      <c r="A21" s="72"/>
      <c r="B21" s="73"/>
      <c r="C21" s="73"/>
      <c r="D21" s="76"/>
      <c r="E21" s="76"/>
      <c r="F21" s="73"/>
    </row>
    <row r="22" spans="1:6">
      <c r="A22" s="72"/>
      <c r="B22" s="73"/>
      <c r="C22" s="73"/>
      <c r="D22" s="76"/>
      <c r="E22" s="76"/>
      <c r="F22" s="73"/>
    </row>
    <row r="23" spans="1:6">
      <c r="A23" s="72"/>
      <c r="B23" s="73"/>
      <c r="C23" s="73"/>
      <c r="D23" s="76"/>
      <c r="E23" s="76"/>
      <c r="F23" s="73"/>
    </row>
    <row r="24" spans="1:6">
      <c r="F24" s="73"/>
    </row>
    <row r="25" spans="1:6">
      <c r="F25" s="73"/>
    </row>
    <row r="26" spans="1:6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>
      <c r="A1" s="378" t="s">
        <v>64</v>
      </c>
      <c r="B1" s="378"/>
      <c r="C1" s="378"/>
      <c r="D1" s="378"/>
      <c r="E1" s="378"/>
    </row>
    <row r="2" spans="1:5">
      <c r="A2" s="77"/>
      <c r="B2" s="77"/>
      <c r="C2" s="78" t="s">
        <v>23</v>
      </c>
      <c r="D2" s="78">
        <f>SUM(D4:D9)</f>
        <v>0</v>
      </c>
      <c r="E2" s="77"/>
    </row>
    <row r="3" spans="1: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>
      <c r="A4" s="55"/>
      <c r="B4" s="55"/>
      <c r="C4" s="55"/>
      <c r="D4" s="55"/>
      <c r="E4" s="55"/>
    </row>
    <row r="5" spans="1:5">
      <c r="A5" s="55"/>
      <c r="B5" s="55"/>
      <c r="C5" s="55"/>
      <c r="D5" s="55"/>
      <c r="E5" s="55"/>
    </row>
    <row r="6" spans="1:5">
      <c r="A6" s="55"/>
      <c r="B6" s="55"/>
      <c r="C6" s="55"/>
      <c r="D6" s="55"/>
      <c r="E6" s="55"/>
    </row>
    <row r="7" spans="1:5">
      <c r="A7" s="55"/>
      <c r="B7" s="55"/>
      <c r="C7" s="55"/>
      <c r="D7" s="55"/>
      <c r="E7" s="55"/>
    </row>
    <row r="8" spans="1:5">
      <c r="A8" s="55"/>
      <c r="B8" s="55"/>
      <c r="C8" s="55"/>
      <c r="D8" s="55"/>
      <c r="E8" s="55"/>
    </row>
    <row r="9" spans="1:5">
      <c r="A9" s="55"/>
      <c r="B9" s="55"/>
      <c r="C9" s="55"/>
      <c r="D9" s="55"/>
      <c r="E9" s="55"/>
    </row>
    <row r="10" spans="1:5">
      <c r="A10" s="77"/>
      <c r="B10" s="77"/>
      <c r="C10" s="77"/>
      <c r="D10" s="77"/>
      <c r="E10" s="77"/>
    </row>
    <row r="11" spans="1:5">
      <c r="A11" s="77"/>
      <c r="B11" s="77"/>
      <c r="C11" s="77"/>
      <c r="D11" s="77"/>
      <c r="E11" s="77"/>
    </row>
    <row r="12" spans="1:5" ht="15.75">
      <c r="A12" s="378" t="s">
        <v>17</v>
      </c>
      <c r="B12" s="378"/>
      <c r="C12" s="378"/>
      <c r="D12" s="378"/>
      <c r="E12" s="378"/>
    </row>
    <row r="13" spans="1:5">
      <c r="A13" s="77"/>
      <c r="B13" s="77"/>
      <c r="C13" s="78" t="s">
        <v>23</v>
      </c>
      <c r="D13" s="78">
        <f>SUM(D15:D25)</f>
        <v>0</v>
      </c>
      <c r="E13" s="77"/>
    </row>
    <row r="14" spans="1: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>
      <c r="A15" s="55"/>
      <c r="B15" s="55"/>
      <c r="C15" s="55"/>
      <c r="D15" s="55"/>
      <c r="E15" s="55"/>
    </row>
    <row r="16" spans="1:5">
      <c r="A16" s="55"/>
      <c r="B16" s="55"/>
      <c r="C16" s="55"/>
      <c r="D16" s="55"/>
      <c r="E16" s="55"/>
    </row>
    <row r="17" spans="1:5">
      <c r="A17" s="55"/>
      <c r="B17" s="55"/>
      <c r="C17" s="55"/>
      <c r="D17" s="55"/>
      <c r="E17" s="55"/>
    </row>
    <row r="18" spans="1:5">
      <c r="A18" s="55"/>
      <c r="B18" s="55"/>
      <c r="C18" s="55"/>
      <c r="D18" s="55"/>
      <c r="E18" s="55"/>
    </row>
    <row r="19" spans="1:5">
      <c r="A19" s="55"/>
      <c r="B19" s="55"/>
      <c r="C19" s="55"/>
      <c r="D19" s="55"/>
      <c r="E19" s="55"/>
    </row>
    <row r="20" spans="1:5">
      <c r="A20" s="55"/>
      <c r="B20" s="55"/>
      <c r="C20" s="55"/>
      <c r="D20" s="55"/>
      <c r="E20" s="55"/>
    </row>
    <row r="21" spans="1:5">
      <c r="A21" s="55"/>
      <c r="B21" s="55"/>
      <c r="C21" s="55"/>
      <c r="D21" s="55"/>
      <c r="E21" s="55"/>
    </row>
    <row r="22" spans="1:5">
      <c r="A22" s="54"/>
      <c r="B22" s="54"/>
      <c r="C22" s="54"/>
      <c r="D22" s="54"/>
      <c r="E22" s="54"/>
    </row>
    <row r="23" spans="1:5">
      <c r="A23" s="54"/>
      <c r="B23" s="54"/>
      <c r="C23" s="54"/>
      <c r="D23" s="54"/>
      <c r="E23" s="54"/>
    </row>
    <row r="24" spans="1:5">
      <c r="A24" s="54"/>
      <c r="B24" s="54"/>
      <c r="C24" s="54"/>
      <c r="D24" s="54"/>
      <c r="E24" s="54"/>
    </row>
    <row r="25" spans="1: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I14" sqref="I14"/>
    </sheetView>
  </sheetViews>
  <sheetFormatPr defaultRowHeight="1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>
      <c r="A1" s="379" t="s">
        <v>66</v>
      </c>
      <c r="B1" s="379"/>
      <c r="C1" s="380"/>
      <c r="D1" s="380"/>
      <c r="E1" s="379"/>
    </row>
    <row r="2" spans="1:5" ht="21">
      <c r="A2" s="82"/>
      <c r="B2" s="82"/>
      <c r="C2" s="83" t="s">
        <v>23</v>
      </c>
      <c r="D2" s="83">
        <f>SUM(D4:D16)</f>
        <v>0</v>
      </c>
      <c r="E2" s="82"/>
    </row>
    <row r="3" spans="1: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>
      <c r="A4" s="72"/>
      <c r="B4" s="75"/>
      <c r="C4" s="76"/>
      <c r="D4" s="76"/>
      <c r="E4" s="73"/>
    </row>
    <row r="5" spans="1:5">
      <c r="A5" s="72"/>
      <c r="B5" s="75"/>
      <c r="C5" s="76"/>
      <c r="D5" s="86"/>
      <c r="E5" s="87"/>
    </row>
    <row r="6" spans="1:5">
      <c r="A6" s="72"/>
      <c r="B6" s="75"/>
      <c r="C6" s="76"/>
      <c r="D6" s="76"/>
      <c r="E6" s="73"/>
    </row>
    <row r="7" spans="1:5">
      <c r="A7" s="72"/>
      <c r="B7" s="73"/>
      <c r="C7" s="73"/>
      <c r="D7" s="76"/>
      <c r="E7" s="73"/>
    </row>
    <row r="8" spans="1:5">
      <c r="A8" s="72"/>
      <c r="B8" s="73"/>
      <c r="C8" s="73"/>
      <c r="D8" s="76"/>
      <c r="E8" s="73"/>
    </row>
    <row r="9" spans="1:5">
      <c r="A9" s="72"/>
      <c r="B9" s="73"/>
      <c r="C9" s="73"/>
      <c r="D9" s="76"/>
      <c r="E9" s="73"/>
    </row>
    <row r="10" spans="1:5">
      <c r="A10" s="72"/>
      <c r="B10" s="73"/>
      <c r="C10" s="73"/>
      <c r="D10" s="76"/>
      <c r="E10" s="73"/>
    </row>
    <row r="11" spans="1:5">
      <c r="A11" s="72"/>
      <c r="B11" s="73"/>
      <c r="C11" s="73"/>
      <c r="D11" s="73"/>
      <c r="E11" s="73"/>
    </row>
    <row r="12" spans="1:5">
      <c r="A12" s="72"/>
      <c r="B12" s="73"/>
      <c r="C12" s="73"/>
      <c r="D12" s="73"/>
      <c r="E12" s="73"/>
    </row>
    <row r="13" spans="1:5">
      <c r="A13" s="72"/>
      <c r="B13" s="73"/>
      <c r="C13" s="73"/>
      <c r="D13" s="73"/>
      <c r="E13" s="73"/>
    </row>
    <row r="14" spans="1:5">
      <c r="A14" s="72"/>
      <c r="B14" s="73"/>
      <c r="C14" s="73"/>
      <c r="D14" s="73"/>
      <c r="E14" s="73"/>
    </row>
    <row r="15" spans="1:5">
      <c r="A15" s="72"/>
      <c r="B15" s="73"/>
      <c r="C15" s="73"/>
      <c r="D15" s="73"/>
      <c r="E15" s="73"/>
    </row>
    <row r="16" spans="1: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>
      <c r="A1" s="381" t="s">
        <v>19</v>
      </c>
      <c r="B1" s="381"/>
      <c r="C1" s="381"/>
      <c r="D1" s="381"/>
      <c r="E1" s="381"/>
    </row>
    <row r="2" spans="1:5">
      <c r="A2" s="88"/>
      <c r="B2" s="65"/>
      <c r="C2" s="89" t="s">
        <v>23</v>
      </c>
      <c r="D2" s="89">
        <f>SUM(D4:D30)</f>
        <v>0</v>
      </c>
      <c r="E2" s="65"/>
    </row>
    <row r="3" spans="1: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>
      <c r="A4" s="72"/>
      <c r="B4" s="73"/>
      <c r="C4" s="73"/>
      <c r="D4" s="73"/>
      <c r="E4" s="73"/>
    </row>
    <row r="5" spans="1:5">
      <c r="A5" s="72"/>
      <c r="B5" s="73"/>
      <c r="C5" s="73"/>
      <c r="D5" s="73"/>
      <c r="E5" s="73"/>
    </row>
    <row r="6" spans="1:5">
      <c r="A6" s="72"/>
      <c r="B6" s="73"/>
      <c r="C6" s="73"/>
      <c r="D6" s="73"/>
      <c r="E6" s="73"/>
    </row>
    <row r="7" spans="1:5">
      <c r="A7" s="72"/>
      <c r="B7" s="73"/>
      <c r="C7" s="73"/>
      <c r="D7" s="73"/>
      <c r="E7" s="73"/>
    </row>
    <row r="8" spans="1:5">
      <c r="A8" s="72"/>
      <c r="B8" s="73"/>
      <c r="C8" s="73"/>
      <c r="D8" s="73"/>
      <c r="E8" s="73"/>
    </row>
    <row r="9" spans="1:5">
      <c r="A9" s="72"/>
      <c r="B9" s="73"/>
      <c r="C9" s="73"/>
      <c r="D9" s="73"/>
      <c r="E9" s="73"/>
    </row>
    <row r="10" spans="1:5">
      <c r="A10" s="72"/>
      <c r="B10" s="73"/>
      <c r="C10" s="73"/>
      <c r="D10" s="73"/>
      <c r="E10" s="73"/>
    </row>
    <row r="11" spans="1:5">
      <c r="A11" s="72"/>
      <c r="B11" s="73"/>
      <c r="C11" s="73"/>
      <c r="D11" s="73"/>
      <c r="E11" s="73"/>
    </row>
    <row r="12" spans="1:5">
      <c r="A12" s="72"/>
      <c r="B12" s="73"/>
      <c r="C12" s="73"/>
      <c r="D12" s="73"/>
      <c r="E12" s="73"/>
    </row>
    <row r="13" spans="1:5">
      <c r="A13" s="72"/>
      <c r="B13" s="73"/>
      <c r="C13" s="73"/>
      <c r="D13" s="73"/>
      <c r="E13" s="73"/>
    </row>
    <row r="14" spans="1:5">
      <c r="A14" s="72"/>
      <c r="B14" s="73"/>
      <c r="C14" s="73"/>
      <c r="D14" s="73"/>
      <c r="E14" s="73"/>
    </row>
    <row r="15" spans="1:5">
      <c r="A15" s="72"/>
      <c r="B15" s="73"/>
      <c r="C15" s="73"/>
      <c r="D15" s="73"/>
      <c r="E15" s="73"/>
    </row>
    <row r="16" spans="1:5">
      <c r="A16" s="72"/>
      <c r="B16" s="73"/>
      <c r="C16" s="73"/>
      <c r="D16" s="73"/>
      <c r="E16" s="73"/>
    </row>
    <row r="17" spans="1:5">
      <c r="A17" s="72"/>
      <c r="B17" s="73"/>
      <c r="C17" s="73"/>
      <c r="D17" s="73"/>
      <c r="E17" s="73"/>
    </row>
    <row r="18" spans="1:5">
      <c r="A18" s="72"/>
      <c r="B18" s="73"/>
      <c r="C18" s="73"/>
      <c r="D18" s="73"/>
      <c r="E18" s="73"/>
    </row>
    <row r="19" spans="1:5">
      <c r="A19" s="72"/>
      <c r="B19" s="73"/>
      <c r="C19" s="73"/>
      <c r="D19" s="73"/>
      <c r="E19" s="73"/>
    </row>
    <row r="20" spans="1:5">
      <c r="A20" s="72"/>
      <c r="B20" s="73"/>
      <c r="C20" s="73"/>
      <c r="D20" s="73"/>
      <c r="E20" s="73"/>
    </row>
    <row r="21" spans="1:5">
      <c r="A21" s="72"/>
      <c r="B21" s="73"/>
      <c r="C21" s="73"/>
      <c r="D21" s="73"/>
      <c r="E21" s="73"/>
    </row>
    <row r="22" spans="1:5">
      <c r="A22" s="72"/>
      <c r="B22" s="73"/>
      <c r="C22" s="73"/>
      <c r="D22" s="73"/>
      <c r="E22" s="73"/>
    </row>
    <row r="23" spans="1:5">
      <c r="A23" s="72"/>
      <c r="B23" s="73"/>
      <c r="C23" s="73"/>
      <c r="D23" s="73"/>
      <c r="E23" s="73"/>
    </row>
    <row r="24" spans="1:5">
      <c r="A24" s="72"/>
      <c r="B24" s="73"/>
      <c r="C24" s="73"/>
      <c r="D24" s="73"/>
      <c r="E24" s="73"/>
    </row>
    <row r="25" spans="1:5">
      <c r="A25" s="72"/>
      <c r="B25" s="73"/>
      <c r="C25" s="73"/>
      <c r="D25" s="73"/>
      <c r="E25" s="73"/>
    </row>
    <row r="26" spans="1:5">
      <c r="A26" s="72"/>
      <c r="B26" s="73"/>
      <c r="C26" s="73"/>
      <c r="D26" s="73"/>
      <c r="E26" s="73"/>
    </row>
    <row r="27" spans="1:5">
      <c r="A27" s="72"/>
      <c r="B27" s="73"/>
      <c r="C27" s="73"/>
      <c r="D27" s="73"/>
      <c r="E27" s="73"/>
    </row>
    <row r="28" spans="1:5">
      <c r="A28" s="72"/>
      <c r="B28" s="73"/>
      <c r="C28" s="73"/>
      <c r="D28" s="73"/>
      <c r="E28" s="73"/>
    </row>
    <row r="29" spans="1:5">
      <c r="A29" s="72"/>
      <c r="B29" s="73"/>
      <c r="C29" s="73"/>
      <c r="D29" s="73"/>
      <c r="E29" s="73"/>
    </row>
    <row r="30" spans="1: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I15" sqref="I15"/>
    </sheetView>
  </sheetViews>
  <sheetFormatPr defaultRowHeight="1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>
      <c r="A1" s="382" t="s">
        <v>20</v>
      </c>
      <c r="B1" s="382"/>
      <c r="C1" s="382"/>
      <c r="D1" s="382"/>
      <c r="E1" s="382"/>
    </row>
    <row r="2" spans="1:5">
      <c r="A2" s="195"/>
      <c r="B2" s="97"/>
      <c r="C2" s="192" t="s">
        <v>23</v>
      </c>
      <c r="D2" s="91">
        <f>SUM(D4:D36)</f>
        <v>420</v>
      </c>
      <c r="E2" s="64"/>
    </row>
    <row r="3" spans="1: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>
      <c r="A4" s="72">
        <v>45652</v>
      </c>
      <c r="B4" s="266" t="s">
        <v>190</v>
      </c>
      <c r="C4" s="194" t="s">
        <v>134</v>
      </c>
      <c r="D4" s="76">
        <v>50</v>
      </c>
      <c r="E4" s="95" t="s">
        <v>211</v>
      </c>
    </row>
    <row r="5" spans="1:5">
      <c r="A5" s="72">
        <v>45655</v>
      </c>
      <c r="B5" s="266" t="s">
        <v>126</v>
      </c>
      <c r="C5" s="194" t="s">
        <v>134</v>
      </c>
      <c r="D5" s="76">
        <v>220</v>
      </c>
      <c r="E5" s="95" t="s">
        <v>221</v>
      </c>
    </row>
    <row r="6" spans="1:5">
      <c r="A6" s="72">
        <v>45657</v>
      </c>
      <c r="B6" s="266" t="s">
        <v>126</v>
      </c>
      <c r="C6" s="194" t="s">
        <v>134</v>
      </c>
      <c r="D6" s="76">
        <v>150</v>
      </c>
      <c r="E6" s="95" t="s">
        <v>226</v>
      </c>
    </row>
    <row r="7" spans="1:5">
      <c r="A7" s="72"/>
      <c r="B7" s="94"/>
      <c r="C7" s="194"/>
      <c r="D7" s="76"/>
      <c r="E7" s="95"/>
    </row>
    <row r="8" spans="1:5">
      <c r="A8" s="195"/>
      <c r="B8" s="96"/>
      <c r="C8" s="12"/>
      <c r="D8" s="55"/>
      <c r="E8" s="97"/>
    </row>
    <row r="9" spans="1:5">
      <c r="A9" s="195"/>
      <c r="B9" s="97"/>
      <c r="C9" s="12"/>
      <c r="D9" s="97"/>
      <c r="E9" s="97"/>
    </row>
    <row r="10" spans="1:5">
      <c r="A10" s="195"/>
      <c r="B10" s="97"/>
      <c r="C10" s="12"/>
      <c r="D10" s="97"/>
      <c r="E10" s="97"/>
    </row>
    <row r="11" spans="1:5">
      <c r="A11" s="195"/>
      <c r="B11" s="97"/>
      <c r="C11" s="12"/>
      <c r="D11" s="97"/>
      <c r="E11" s="97"/>
    </row>
    <row r="12" spans="1:5">
      <c r="A12" s="195"/>
      <c r="B12" s="97"/>
      <c r="C12" s="12"/>
      <c r="D12" s="97"/>
      <c r="E12" s="97"/>
    </row>
    <row r="13" spans="1:5">
      <c r="A13" s="195"/>
      <c r="B13" s="97"/>
      <c r="C13" s="12" t="s">
        <v>147</v>
      </c>
      <c r="D13" s="97"/>
      <c r="E13" s="97"/>
    </row>
    <row r="14" spans="1:5">
      <c r="A14" s="195"/>
      <c r="B14" s="97"/>
      <c r="C14" s="12"/>
      <c r="D14" s="97"/>
      <c r="E14" s="97"/>
    </row>
    <row r="15" spans="1:5">
      <c r="A15" s="195"/>
      <c r="B15" s="97"/>
      <c r="C15" s="12"/>
      <c r="D15" s="97"/>
      <c r="E15" s="97"/>
    </row>
    <row r="16" spans="1:5">
      <c r="A16" s="195"/>
      <c r="B16" s="97"/>
      <c r="C16" s="12"/>
      <c r="D16" s="97"/>
      <c r="E16" s="97"/>
    </row>
    <row r="17" spans="1:5">
      <c r="A17" s="195"/>
      <c r="B17" s="97"/>
      <c r="C17" s="12"/>
      <c r="D17" s="97"/>
      <c r="E17" s="97"/>
    </row>
    <row r="18" spans="1:5">
      <c r="A18" s="195"/>
      <c r="B18" s="97"/>
      <c r="C18" s="12"/>
      <c r="D18" s="97"/>
      <c r="E18" s="97"/>
    </row>
    <row r="19" spans="1:5">
      <c r="A19" s="195"/>
      <c r="B19" s="97"/>
      <c r="C19" s="12"/>
      <c r="D19" s="97"/>
      <c r="E19" s="97"/>
    </row>
    <row r="20" spans="1:5">
      <c r="A20" s="195"/>
      <c r="B20" s="97"/>
      <c r="C20" s="12"/>
      <c r="D20" s="97"/>
      <c r="E20" s="97"/>
    </row>
    <row r="21" spans="1:5">
      <c r="A21" s="195"/>
      <c r="B21" s="97"/>
      <c r="C21" s="12"/>
      <c r="D21" s="97"/>
      <c r="E21" s="97"/>
    </row>
    <row r="22" spans="1:5">
      <c r="A22" s="195"/>
      <c r="B22" s="97"/>
      <c r="C22" s="12"/>
      <c r="D22" s="97"/>
      <c r="E22" s="97"/>
    </row>
    <row r="23" spans="1:5">
      <c r="A23" s="195"/>
      <c r="B23" s="97"/>
      <c r="C23" s="12"/>
      <c r="D23" s="97"/>
      <c r="E23" s="97"/>
    </row>
    <row r="24" spans="1:5">
      <c r="A24" s="195"/>
      <c r="B24" s="97"/>
      <c r="C24" s="12"/>
      <c r="D24" s="97"/>
      <c r="E24" s="97"/>
    </row>
    <row r="25" spans="1:5">
      <c r="A25" s="195"/>
      <c r="B25" s="97"/>
      <c r="C25" s="12"/>
      <c r="D25" s="97"/>
      <c r="E25" s="97"/>
    </row>
    <row r="26" spans="1:5">
      <c r="A26" s="195"/>
      <c r="B26" s="97"/>
      <c r="C26" s="12"/>
      <c r="D26" s="97"/>
      <c r="E26" s="97"/>
    </row>
    <row r="27" spans="1:5">
      <c r="A27" s="195"/>
      <c r="B27" s="97"/>
      <c r="C27" s="12"/>
      <c r="D27" s="97"/>
      <c r="E27" s="97"/>
    </row>
    <row r="28" spans="1:5">
      <c r="A28" s="195"/>
      <c r="B28" s="97"/>
      <c r="C28" s="12"/>
      <c r="D28" s="97"/>
      <c r="E28" s="97"/>
    </row>
    <row r="29" spans="1:5">
      <c r="A29" s="195"/>
      <c r="B29" s="97"/>
      <c r="C29" s="12"/>
      <c r="D29" s="97"/>
      <c r="E29" s="97"/>
    </row>
    <row r="30" spans="1:5">
      <c r="A30" s="195"/>
      <c r="B30" s="97"/>
      <c r="C30" s="12"/>
      <c r="D30" s="97"/>
      <c r="E30" s="97"/>
    </row>
    <row r="31" spans="1:5">
      <c r="A31" s="195"/>
      <c r="B31" s="97"/>
      <c r="C31" s="12"/>
      <c r="D31" s="97"/>
      <c r="E31" s="97"/>
    </row>
    <row r="32" spans="1:5">
      <c r="A32" s="195"/>
      <c r="B32" s="97"/>
      <c r="C32" s="12"/>
      <c r="D32" s="97"/>
      <c r="E32" s="97"/>
    </row>
    <row r="33" spans="1:5">
      <c r="A33" s="195"/>
      <c r="B33" s="97"/>
      <c r="C33" s="12"/>
      <c r="D33" s="97"/>
      <c r="E33" s="97"/>
    </row>
    <row r="34" spans="1:5">
      <c r="A34" s="195"/>
      <c r="B34" s="97"/>
      <c r="C34" s="12"/>
      <c r="D34" s="97"/>
      <c r="E34" s="97"/>
    </row>
    <row r="35" spans="1:5">
      <c r="A35" s="195"/>
      <c r="B35" s="97"/>
      <c r="C35" s="12"/>
      <c r="D35" s="97"/>
      <c r="E35" s="97"/>
    </row>
    <row r="36" spans="1:5">
      <c r="A36" s="195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>
      <c r="A1" s="381" t="s">
        <v>70</v>
      </c>
      <c r="B1" s="381"/>
      <c r="C1" s="381"/>
      <c r="D1" s="381"/>
      <c r="E1" s="381"/>
    </row>
    <row r="2" spans="1:5">
      <c r="A2" s="65"/>
      <c r="B2" s="65"/>
      <c r="C2" s="98" t="s">
        <v>23</v>
      </c>
      <c r="D2" s="98">
        <f>SUM(D4:D30)</f>
        <v>0</v>
      </c>
      <c r="E2" s="65"/>
    </row>
    <row r="3" spans="1: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>
      <c r="A4" s="218"/>
      <c r="B4" s="73"/>
      <c r="C4" s="73"/>
      <c r="D4" s="73"/>
      <c r="E4" s="73"/>
    </row>
    <row r="5" spans="1:5">
      <c r="A5" s="218"/>
      <c r="B5" s="73"/>
      <c r="C5" s="73"/>
      <c r="D5" s="73"/>
      <c r="E5" s="73"/>
    </row>
    <row r="6" spans="1:5">
      <c r="A6" s="218"/>
      <c r="B6" s="73"/>
      <c r="C6" s="73"/>
      <c r="D6" s="73"/>
      <c r="E6" s="73"/>
    </row>
    <row r="7" spans="1:5">
      <c r="A7" s="218"/>
      <c r="B7" s="73"/>
      <c r="C7" s="73"/>
      <c r="D7" s="73"/>
      <c r="E7" s="73"/>
    </row>
    <row r="8" spans="1:5">
      <c r="A8" s="218"/>
      <c r="B8" s="73"/>
      <c r="C8" s="73"/>
      <c r="D8" s="73"/>
      <c r="E8" s="73"/>
    </row>
    <row r="9" spans="1:5">
      <c r="A9" s="73"/>
      <c r="B9" s="73"/>
      <c r="C9" s="73"/>
      <c r="D9" s="73"/>
      <c r="E9" s="73"/>
    </row>
    <row r="10" spans="1:5">
      <c r="A10" s="73"/>
      <c r="B10" s="73"/>
      <c r="C10" s="73"/>
      <c r="D10" s="73"/>
      <c r="E10" s="73"/>
    </row>
    <row r="11" spans="1:5">
      <c r="A11" s="73"/>
      <c r="B11" s="73"/>
      <c r="C11" s="73"/>
      <c r="D11" s="73"/>
      <c r="E11" s="73"/>
    </row>
    <row r="12" spans="1:5">
      <c r="A12" s="73"/>
      <c r="B12" s="73"/>
      <c r="C12" s="73"/>
      <c r="D12" s="73"/>
      <c r="E12" s="73"/>
    </row>
    <row r="13" spans="1:5">
      <c r="A13" s="73"/>
      <c r="B13" s="73"/>
      <c r="C13" s="73"/>
      <c r="D13" s="73"/>
      <c r="E13" s="73"/>
    </row>
    <row r="14" spans="1:5">
      <c r="A14" s="73"/>
      <c r="B14" s="73"/>
      <c r="C14" s="73"/>
      <c r="D14" s="73"/>
      <c r="E14" s="73"/>
    </row>
    <row r="15" spans="1:5">
      <c r="A15" s="73"/>
      <c r="B15" s="73"/>
      <c r="C15" s="73"/>
      <c r="D15" s="73"/>
      <c r="E15" s="73"/>
    </row>
    <row r="16" spans="1:5">
      <c r="A16" s="73"/>
      <c r="B16" s="73"/>
      <c r="C16" s="73"/>
      <c r="D16" s="73"/>
      <c r="E16" s="73"/>
    </row>
    <row r="17" spans="1:5">
      <c r="A17" s="73"/>
      <c r="B17" s="73"/>
      <c r="C17" s="73"/>
      <c r="D17" s="73"/>
      <c r="E17" s="73"/>
    </row>
    <row r="18" spans="1:5">
      <c r="A18" s="73"/>
      <c r="B18" s="73"/>
      <c r="C18" s="73"/>
      <c r="D18" s="73"/>
      <c r="E18" s="73"/>
    </row>
    <row r="19" spans="1:5">
      <c r="A19" s="73"/>
      <c r="B19" s="73"/>
      <c r="C19" s="73"/>
      <c r="D19" s="73"/>
      <c r="E19" s="73"/>
    </row>
    <row r="20" spans="1:5">
      <c r="A20" s="73"/>
      <c r="B20" s="73"/>
      <c r="C20" s="73"/>
      <c r="D20" s="73"/>
      <c r="E20" s="73"/>
    </row>
    <row r="21" spans="1:5">
      <c r="A21" s="73"/>
      <c r="B21" s="73"/>
      <c r="C21" s="73"/>
      <c r="D21" s="73"/>
      <c r="E21" s="73"/>
    </row>
    <row r="22" spans="1:5">
      <c r="A22" s="73"/>
      <c r="B22" s="73"/>
      <c r="C22" s="73"/>
      <c r="D22" s="73"/>
      <c r="E22" s="73"/>
    </row>
    <row r="23" spans="1:5">
      <c r="A23" s="73"/>
      <c r="B23" s="73"/>
      <c r="C23" s="73"/>
      <c r="D23" s="73"/>
      <c r="E23" s="73"/>
    </row>
    <row r="24" spans="1:5">
      <c r="A24" s="73"/>
      <c r="B24" s="73"/>
      <c r="C24" s="73"/>
      <c r="D24" s="73"/>
      <c r="E24" s="73"/>
    </row>
    <row r="25" spans="1:5">
      <c r="A25" s="73"/>
      <c r="B25" s="73"/>
      <c r="C25" s="73"/>
      <c r="D25" s="73"/>
      <c r="E25" s="73"/>
    </row>
    <row r="26" spans="1:5">
      <c r="A26" s="73"/>
      <c r="B26" s="73"/>
      <c r="C26" s="73"/>
      <c r="D26" s="73"/>
      <c r="E26" s="73"/>
    </row>
    <row r="27" spans="1:5">
      <c r="A27" s="73"/>
      <c r="B27" s="73"/>
      <c r="C27" s="73"/>
      <c r="D27" s="73"/>
      <c r="E27" s="73"/>
    </row>
    <row r="28" spans="1:5">
      <c r="A28" s="73"/>
      <c r="B28" s="73"/>
      <c r="C28" s="73"/>
      <c r="D28" s="73"/>
      <c r="E28" s="73"/>
    </row>
    <row r="29" spans="1:5">
      <c r="A29" s="73"/>
      <c r="B29" s="73"/>
      <c r="C29" s="73"/>
      <c r="D29" s="73"/>
      <c r="E29" s="73"/>
    </row>
    <row r="30" spans="1: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>
      <c r="A1" s="388" t="s">
        <v>0</v>
      </c>
      <c r="B1" s="389"/>
      <c r="C1" s="389"/>
      <c r="D1" s="389"/>
      <c r="E1" s="390"/>
      <c r="G1" s="388" t="s">
        <v>0</v>
      </c>
      <c r="H1" s="389"/>
      <c r="I1" s="389"/>
      <c r="J1" s="389"/>
      <c r="K1" s="390"/>
    </row>
    <row r="2" spans="1:11">
      <c r="A2" s="351"/>
      <c r="B2" s="339"/>
      <c r="C2" s="339"/>
      <c r="D2" s="339"/>
      <c r="E2" s="352"/>
      <c r="G2" s="351"/>
      <c r="H2" s="339"/>
      <c r="I2" s="339"/>
      <c r="J2" s="339"/>
      <c r="K2" s="352"/>
    </row>
    <row r="3" spans="1:11" ht="15.75">
      <c r="A3" s="383" t="s">
        <v>76</v>
      </c>
      <c r="B3" s="384"/>
      <c r="C3" s="103" t="s">
        <v>113</v>
      </c>
      <c r="D3" s="103"/>
      <c r="E3" s="104"/>
      <c r="G3" s="225" t="s">
        <v>131</v>
      </c>
      <c r="H3" s="103"/>
      <c r="I3" s="103"/>
      <c r="J3" s="103"/>
      <c r="K3" s="104"/>
    </row>
    <row r="4" spans="1:11">
      <c r="A4" s="105"/>
      <c r="E4" s="106"/>
      <c r="G4" s="105"/>
      <c r="K4" s="106"/>
    </row>
    <row r="5" spans="1:11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>
      <c r="A6" s="110">
        <v>1</v>
      </c>
      <c r="B6" s="147"/>
      <c r="C6" s="111"/>
      <c r="D6" s="111"/>
      <c r="E6" s="112"/>
      <c r="G6" s="110">
        <v>1</v>
      </c>
      <c r="H6" s="224"/>
      <c r="I6" s="111"/>
      <c r="J6" s="111"/>
      <c r="K6" s="112"/>
    </row>
    <row r="7" spans="1:11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>
      <c r="A8" s="110">
        <v>3</v>
      </c>
      <c r="B8" s="147"/>
      <c r="C8" s="111"/>
      <c r="D8" s="111"/>
      <c r="E8" s="112"/>
      <c r="G8" s="391" t="s">
        <v>23</v>
      </c>
      <c r="H8" s="392"/>
      <c r="I8" s="392"/>
      <c r="J8" s="393"/>
      <c r="K8" s="112"/>
    </row>
    <row r="9" spans="1:11">
      <c r="A9" s="110">
        <v>4</v>
      </c>
      <c r="B9" s="147"/>
      <c r="C9" s="111"/>
      <c r="D9" s="111"/>
      <c r="E9" s="112"/>
      <c r="G9" s="105"/>
      <c r="K9" s="106"/>
    </row>
    <row r="10" spans="1:11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>
      <c r="A12" s="391" t="s">
        <v>23</v>
      </c>
      <c r="B12" s="392"/>
      <c r="C12" s="392"/>
      <c r="D12" s="393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>
      <c r="A13" s="105"/>
      <c r="E13" s="106"/>
    </row>
    <row r="14" spans="1:11" ht="15.75" thickBot="1">
      <c r="A14" s="113"/>
      <c r="B14" s="179"/>
      <c r="C14" s="114"/>
      <c r="D14" s="114"/>
      <c r="E14" s="115"/>
    </row>
    <row r="15" spans="1:11" ht="21">
      <c r="A15" s="116" t="s">
        <v>78</v>
      </c>
      <c r="B15" s="180"/>
      <c r="C15" s="47" t="s">
        <v>79</v>
      </c>
      <c r="D15" s="47" t="s">
        <v>80</v>
      </c>
      <c r="E15" s="117"/>
      <c r="G15" s="388" t="s">
        <v>0</v>
      </c>
      <c r="H15" s="389"/>
      <c r="I15" s="389"/>
      <c r="J15" s="389"/>
      <c r="K15" s="390"/>
    </row>
    <row r="16" spans="1:11" ht="16.5" thickBot="1">
      <c r="A16" s="118" t="s">
        <v>30</v>
      </c>
      <c r="B16" s="181"/>
      <c r="C16" s="119" t="s">
        <v>81</v>
      </c>
      <c r="D16" s="119" t="s">
        <v>82</v>
      </c>
      <c r="E16" s="120"/>
      <c r="G16" s="351"/>
      <c r="H16" s="339"/>
      <c r="I16" s="339"/>
      <c r="J16" s="339"/>
      <c r="K16" s="352"/>
    </row>
    <row r="17" spans="1:11" ht="15.75">
      <c r="G17" s="383" t="s">
        <v>76</v>
      </c>
      <c r="H17" s="384"/>
      <c r="I17" s="103"/>
      <c r="J17" s="103"/>
      <c r="K17" s="104"/>
    </row>
    <row r="18" spans="1:11" ht="15.75" thickBot="1">
      <c r="G18" s="105"/>
      <c r="K18" s="106"/>
    </row>
    <row r="19" spans="1:11" ht="21">
      <c r="A19" s="388" t="s">
        <v>0</v>
      </c>
      <c r="B19" s="389"/>
      <c r="C19" s="389"/>
      <c r="D19" s="389"/>
      <c r="E19" s="390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>
      <c r="A20" s="351"/>
      <c r="B20" s="339"/>
      <c r="C20" s="339"/>
      <c r="D20" s="339"/>
      <c r="E20" s="352"/>
      <c r="G20" s="110">
        <v>1</v>
      </c>
      <c r="H20" s="111"/>
      <c r="I20" s="111"/>
      <c r="J20" s="111"/>
      <c r="K20" s="112"/>
    </row>
    <row r="21" spans="1:11" ht="15.75">
      <c r="A21" s="383" t="s">
        <v>76</v>
      </c>
      <c r="B21" s="384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>
      <c r="A22" s="105"/>
      <c r="E22" s="106"/>
      <c r="G22" s="110">
        <v>3</v>
      </c>
      <c r="H22" s="111"/>
      <c r="I22" s="111"/>
      <c r="J22" s="111"/>
      <c r="K22" s="112"/>
    </row>
    <row r="23" spans="1:11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>
      <c r="A26" s="110">
        <v>3</v>
      </c>
      <c r="B26" s="147"/>
      <c r="C26" s="111"/>
      <c r="D26" s="111"/>
      <c r="E26" s="112"/>
      <c r="G26" s="385" t="s">
        <v>23</v>
      </c>
      <c r="H26" s="386"/>
      <c r="I26" s="386"/>
      <c r="J26" s="387"/>
      <c r="K26" s="112"/>
    </row>
    <row r="27" spans="1:11">
      <c r="A27" s="110">
        <v>4</v>
      </c>
      <c r="B27" s="147"/>
      <c r="C27" s="111"/>
      <c r="D27" s="111"/>
      <c r="E27" s="112"/>
      <c r="G27" s="105"/>
      <c r="K27" s="106"/>
    </row>
    <row r="28" spans="1:11">
      <c r="A28" s="110">
        <v>5</v>
      </c>
      <c r="B28" s="147"/>
      <c r="C28" s="111"/>
      <c r="D28" s="111"/>
      <c r="E28" s="112"/>
      <c r="G28" s="105"/>
      <c r="K28" s="106"/>
    </row>
    <row r="29" spans="1:11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>
      <c r="A30" s="385" t="s">
        <v>23</v>
      </c>
      <c r="B30" s="386"/>
      <c r="C30" s="386"/>
      <c r="D30" s="387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>
      <c r="A32" s="105"/>
      <c r="E32" s="106"/>
    </row>
    <row r="33" spans="1:5">
      <c r="A33" s="113"/>
      <c r="B33" s="179"/>
      <c r="C33" s="114"/>
      <c r="D33" s="114"/>
      <c r="E33" s="115"/>
    </row>
    <row r="34" spans="1: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7"/>
  <sheetViews>
    <sheetView zoomScaleNormal="100" workbookViewId="0">
      <selection activeCell="H1" sqref="H1:M10"/>
    </sheetView>
  </sheetViews>
  <sheetFormatPr defaultRowHeight="15"/>
  <cols>
    <col min="1" max="1" width="7.7109375" customWidth="1"/>
    <col min="2" max="2" width="13.5703125" style="143" customWidth="1"/>
    <col min="3" max="3" width="26.42578125" style="151" customWidth="1"/>
    <col min="4" max="4" width="19.85546875" customWidth="1"/>
    <col min="5" max="5" width="9.140625" style="185" customWidth="1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>
      <c r="A1" s="338" t="s">
        <v>0</v>
      </c>
      <c r="B1" s="338"/>
      <c r="C1" s="338"/>
      <c r="D1" s="338"/>
      <c r="E1" s="338"/>
      <c r="F1" s="338"/>
      <c r="H1" s="338" t="s">
        <v>0</v>
      </c>
      <c r="I1" s="338"/>
      <c r="J1" s="338"/>
      <c r="K1" s="338"/>
      <c r="L1" s="338"/>
      <c r="M1" s="338"/>
    </row>
    <row r="2" spans="1:13" ht="18.75">
      <c r="A2" s="398"/>
      <c r="B2" s="398"/>
      <c r="C2" s="399" t="s">
        <v>259</v>
      </c>
      <c r="D2" s="399"/>
      <c r="E2" s="399"/>
      <c r="F2" s="139"/>
      <c r="H2" s="398"/>
      <c r="I2" s="398"/>
      <c r="J2" s="399" t="s">
        <v>122</v>
      </c>
      <c r="K2" s="399"/>
      <c r="L2" s="399"/>
      <c r="M2" s="139"/>
    </row>
    <row r="3" spans="1:13">
      <c r="A3" s="108" t="s">
        <v>77</v>
      </c>
      <c r="B3" s="178" t="s">
        <v>36</v>
      </c>
      <c r="C3" s="187" t="s">
        <v>116</v>
      </c>
      <c r="D3" s="108" t="s">
        <v>5</v>
      </c>
      <c r="E3" s="108" t="s">
        <v>56</v>
      </c>
      <c r="F3" s="108" t="s">
        <v>89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123</v>
      </c>
    </row>
    <row r="4" spans="1:13" ht="18.75">
      <c r="A4" s="135">
        <v>1</v>
      </c>
      <c r="B4" s="178">
        <v>45647</v>
      </c>
      <c r="C4" s="33">
        <v>8928</v>
      </c>
      <c r="D4" s="108" t="s">
        <v>135</v>
      </c>
      <c r="E4" s="108">
        <v>400</v>
      </c>
      <c r="F4" s="108"/>
      <c r="H4" s="135">
        <v>1</v>
      </c>
      <c r="I4" s="201">
        <v>45656</v>
      </c>
      <c r="J4" s="187" t="s">
        <v>135</v>
      </c>
      <c r="K4" s="108" t="s">
        <v>134</v>
      </c>
      <c r="L4" s="108">
        <v>100</v>
      </c>
      <c r="M4" s="108" t="s">
        <v>164</v>
      </c>
    </row>
    <row r="5" spans="1:13" ht="18.75">
      <c r="A5" s="135">
        <v>2</v>
      </c>
      <c r="B5" s="178">
        <v>45655</v>
      </c>
      <c r="C5" s="462" t="s">
        <v>260</v>
      </c>
      <c r="D5" s="108" t="s">
        <v>135</v>
      </c>
      <c r="E5" s="108">
        <v>200</v>
      </c>
      <c r="F5" s="108"/>
      <c r="H5" s="135">
        <v>2</v>
      </c>
      <c r="I5" s="201">
        <v>45656</v>
      </c>
      <c r="J5" s="187" t="s">
        <v>135</v>
      </c>
      <c r="K5" s="108" t="s">
        <v>134</v>
      </c>
      <c r="L5" s="461">
        <v>100</v>
      </c>
      <c r="M5" s="108" t="s">
        <v>164</v>
      </c>
    </row>
    <row r="6" spans="1:13" ht="18.75">
      <c r="A6" s="135"/>
      <c r="B6" s="178"/>
      <c r="C6" s="32"/>
      <c r="D6" s="108"/>
      <c r="E6" s="108"/>
      <c r="F6" s="108"/>
      <c r="H6" s="124"/>
      <c r="I6" s="186"/>
      <c r="J6" s="188"/>
      <c r="K6" s="291" t="s">
        <v>23</v>
      </c>
      <c r="L6" s="48">
        <f>SUM(L4:L5)</f>
        <v>200</v>
      </c>
      <c r="M6" s="108"/>
    </row>
    <row r="7" spans="1:13">
      <c r="A7" s="124"/>
      <c r="B7" s="186"/>
      <c r="C7" s="188"/>
      <c r="D7" s="291" t="s">
        <v>23</v>
      </c>
      <c r="E7" s="292">
        <f>SUM(E4:E6)</f>
        <v>600</v>
      </c>
      <c r="F7" s="108"/>
      <c r="I7" s="143"/>
      <c r="J7" s="151"/>
      <c r="L7" s="185"/>
    </row>
    <row r="8" spans="1:13">
      <c r="H8" s="114"/>
      <c r="I8" s="179" t="s">
        <v>127</v>
      </c>
      <c r="J8" s="189"/>
      <c r="K8" s="114"/>
      <c r="L8" s="184"/>
      <c r="M8" s="114"/>
    </row>
    <row r="9" spans="1:13">
      <c r="A9" s="114"/>
      <c r="B9" s="179"/>
      <c r="C9" s="189"/>
      <c r="D9" s="114"/>
      <c r="E9" s="184"/>
      <c r="F9" s="114"/>
      <c r="H9" s="137" t="s">
        <v>78</v>
      </c>
      <c r="I9" s="180"/>
      <c r="J9" s="190"/>
      <c r="K9" s="47" t="s">
        <v>79</v>
      </c>
      <c r="L9" s="185"/>
      <c r="M9" s="47" t="s">
        <v>80</v>
      </c>
    </row>
    <row r="10" spans="1:13">
      <c r="A10" s="137" t="s">
        <v>78</v>
      </c>
      <c r="B10" s="180"/>
      <c r="C10" s="190"/>
      <c r="D10" s="47" t="s">
        <v>79</v>
      </c>
      <c r="F10" s="47" t="s">
        <v>80</v>
      </c>
      <c r="H10" s="138" t="s">
        <v>30</v>
      </c>
      <c r="I10" s="179"/>
      <c r="J10" s="189"/>
      <c r="K10" s="114" t="s">
        <v>81</v>
      </c>
      <c r="L10" s="185"/>
      <c r="M10" s="114" t="s">
        <v>82</v>
      </c>
    </row>
    <row r="11" spans="1:13">
      <c r="A11" s="138" t="s">
        <v>30</v>
      </c>
      <c r="B11" s="179"/>
      <c r="C11" s="189"/>
      <c r="D11" s="114" t="s">
        <v>81</v>
      </c>
      <c r="F11" s="114" t="s">
        <v>82</v>
      </c>
      <c r="I11" s="143"/>
      <c r="J11" s="151"/>
      <c r="L11" s="185"/>
    </row>
    <row r="12" spans="1:13" ht="28.5">
      <c r="H12" s="397" t="s">
        <v>0</v>
      </c>
      <c r="I12" s="397"/>
      <c r="J12" s="397"/>
      <c r="K12" s="397"/>
      <c r="L12" s="397"/>
    </row>
    <row r="13" spans="1:13">
      <c r="A13" s="394"/>
      <c r="B13" s="394"/>
      <c r="C13" s="394"/>
      <c r="D13" s="394"/>
      <c r="E13" s="394"/>
      <c r="F13" s="394"/>
      <c r="G13" s="108"/>
      <c r="J13" t="s">
        <v>70</v>
      </c>
    </row>
    <row r="14" spans="1:13" ht="21">
      <c r="A14" s="338" t="s">
        <v>0</v>
      </c>
      <c r="B14" s="338"/>
      <c r="C14" s="338"/>
      <c r="D14" s="338"/>
      <c r="E14" s="338"/>
      <c r="F14" s="338"/>
    </row>
    <row r="15" spans="1:13" ht="18.75">
      <c r="A15" s="398"/>
      <c r="B15" s="398"/>
      <c r="C15" s="399" t="s">
        <v>122</v>
      </c>
      <c r="D15" s="399"/>
      <c r="E15" s="399"/>
      <c r="F15" s="139"/>
      <c r="H15" s="346" t="s">
        <v>36</v>
      </c>
      <c r="I15" s="348"/>
      <c r="J15" s="102" t="s">
        <v>68</v>
      </c>
      <c r="K15" s="102" t="s">
        <v>130</v>
      </c>
      <c r="L15" s="102" t="s">
        <v>56</v>
      </c>
    </row>
    <row r="16" spans="1:13">
      <c r="A16" s="108" t="s">
        <v>77</v>
      </c>
      <c r="B16" s="178" t="s">
        <v>36</v>
      </c>
      <c r="C16" s="85" t="s">
        <v>55</v>
      </c>
      <c r="D16" s="108" t="s">
        <v>5</v>
      </c>
      <c r="E16" s="108" t="s">
        <v>56</v>
      </c>
      <c r="F16" s="108" t="s">
        <v>123</v>
      </c>
      <c r="H16" s="395"/>
      <c r="I16" s="396"/>
      <c r="J16" s="102"/>
      <c r="K16" s="102"/>
      <c r="L16" s="102"/>
    </row>
    <row r="17" spans="1:12" ht="27.95" customHeight="1">
      <c r="A17" s="135">
        <v>1</v>
      </c>
      <c r="B17" s="201">
        <v>45647</v>
      </c>
      <c r="C17" s="187" t="s">
        <v>149</v>
      </c>
      <c r="D17" s="108" t="s">
        <v>134</v>
      </c>
      <c r="E17" s="108">
        <v>160</v>
      </c>
      <c r="F17" s="108" t="s">
        <v>163</v>
      </c>
      <c r="L17" s="102"/>
    </row>
    <row r="18" spans="1:12">
      <c r="A18" s="102">
        <v>2</v>
      </c>
      <c r="B18" s="201">
        <v>45655</v>
      </c>
      <c r="C18" s="187" t="s">
        <v>149</v>
      </c>
      <c r="D18" s="108" t="s">
        <v>134</v>
      </c>
      <c r="E18" s="108">
        <v>150</v>
      </c>
      <c r="F18" s="108" t="s">
        <v>261</v>
      </c>
      <c r="K18" s="102" t="s">
        <v>23</v>
      </c>
      <c r="L18" s="102">
        <v>500</v>
      </c>
    </row>
    <row r="19" spans="1:12">
      <c r="A19" s="124"/>
      <c r="B19" s="186"/>
      <c r="C19" s="188"/>
      <c r="D19" s="291" t="s">
        <v>23</v>
      </c>
      <c r="E19" s="292">
        <f>SUM(E17:E17)</f>
        <v>160</v>
      </c>
      <c r="F19" s="291"/>
    </row>
    <row r="20" spans="1:12">
      <c r="H20" s="137"/>
      <c r="I20" s="180"/>
      <c r="J20" s="47"/>
      <c r="L20" s="47"/>
    </row>
    <row r="21" spans="1:12">
      <c r="A21" s="114"/>
      <c r="B21" s="179" t="s">
        <v>127</v>
      </c>
      <c r="C21" s="189"/>
      <c r="D21" s="114"/>
      <c r="E21" s="184"/>
      <c r="F21" s="114"/>
      <c r="H21" s="138"/>
      <c r="I21" s="179"/>
      <c r="J21" s="114"/>
      <c r="L21" s="114"/>
    </row>
    <row r="22" spans="1:12">
      <c r="A22" s="137" t="s">
        <v>78</v>
      </c>
      <c r="B22" s="180"/>
      <c r="C22" s="190"/>
      <c r="D22" s="47" t="s">
        <v>79</v>
      </c>
      <c r="F22" s="47" t="s">
        <v>80</v>
      </c>
      <c r="H22" s="137" t="s">
        <v>78</v>
      </c>
      <c r="I22" s="180"/>
      <c r="J22" s="47" t="s">
        <v>79</v>
      </c>
      <c r="L22" s="47" t="s">
        <v>80</v>
      </c>
    </row>
    <row r="23" spans="1:12">
      <c r="A23" s="138" t="s">
        <v>30</v>
      </c>
      <c r="B23" s="179"/>
      <c r="C23" s="189"/>
      <c r="D23" s="114" t="s">
        <v>81</v>
      </c>
      <c r="F23" s="114" t="s">
        <v>82</v>
      </c>
      <c r="H23" s="138" t="s">
        <v>30</v>
      </c>
      <c r="I23" s="179"/>
      <c r="J23" s="114" t="s">
        <v>81</v>
      </c>
      <c r="L23" s="114" t="s">
        <v>82</v>
      </c>
    </row>
    <row r="25" spans="1:12" ht="21">
      <c r="A25" s="338" t="s">
        <v>0</v>
      </c>
      <c r="B25" s="338"/>
      <c r="C25" s="338"/>
      <c r="D25" s="338"/>
      <c r="E25" s="338"/>
      <c r="F25" s="338"/>
    </row>
    <row r="26" spans="1:12" ht="18.75">
      <c r="A26" s="398"/>
      <c r="B26" s="398"/>
      <c r="C26" s="399" t="s">
        <v>251</v>
      </c>
      <c r="D26" s="399"/>
      <c r="E26" s="399"/>
      <c r="F26" s="139"/>
    </row>
    <row r="27" spans="1:12">
      <c r="A27" s="108" t="s">
        <v>77</v>
      </c>
      <c r="B27" s="178" t="s">
        <v>36</v>
      </c>
      <c r="C27" s="187" t="s">
        <v>252</v>
      </c>
      <c r="D27" s="108" t="s">
        <v>5</v>
      </c>
      <c r="E27" s="108" t="s">
        <v>56</v>
      </c>
      <c r="F27" s="108" t="s">
        <v>89</v>
      </c>
    </row>
    <row r="28" spans="1:12" ht="18.75">
      <c r="A28" s="135">
        <v>1</v>
      </c>
      <c r="B28" s="178">
        <v>45647</v>
      </c>
      <c r="C28" s="462" t="s">
        <v>253</v>
      </c>
      <c r="D28" s="108" t="s">
        <v>135</v>
      </c>
      <c r="E28" s="108">
        <v>400</v>
      </c>
      <c r="F28" s="108"/>
    </row>
    <row r="29" spans="1:12" ht="18.75">
      <c r="A29" s="135">
        <v>2</v>
      </c>
      <c r="B29" s="178">
        <v>45648</v>
      </c>
      <c r="C29" s="33">
        <v>7840</v>
      </c>
      <c r="D29" s="108" t="s">
        <v>135</v>
      </c>
      <c r="E29" s="108">
        <v>400</v>
      </c>
      <c r="F29" s="108"/>
    </row>
    <row r="30" spans="1:12" ht="18.75">
      <c r="A30" s="135">
        <v>3</v>
      </c>
      <c r="B30" s="178">
        <v>45650</v>
      </c>
      <c r="C30" s="33">
        <v>78670</v>
      </c>
      <c r="D30" s="108" t="s">
        <v>135</v>
      </c>
      <c r="E30" s="108">
        <v>60</v>
      </c>
      <c r="F30" s="108"/>
    </row>
    <row r="31" spans="1:12" ht="34.5" customHeight="1">
      <c r="A31" s="135">
        <v>4</v>
      </c>
      <c r="B31" s="178">
        <v>45652</v>
      </c>
      <c r="C31" s="33" t="s">
        <v>254</v>
      </c>
      <c r="D31" s="108" t="s">
        <v>135</v>
      </c>
      <c r="E31" s="108">
        <v>500</v>
      </c>
      <c r="F31" s="108"/>
    </row>
    <row r="32" spans="1:12" ht="18.75">
      <c r="A32" s="135">
        <v>5</v>
      </c>
      <c r="B32" s="178">
        <v>45654</v>
      </c>
      <c r="C32" s="33">
        <v>78769</v>
      </c>
      <c r="D32" s="108" t="s">
        <v>135</v>
      </c>
      <c r="E32" s="108">
        <v>400</v>
      </c>
      <c r="F32" s="108"/>
    </row>
    <row r="33" spans="1:6" ht="18.75">
      <c r="A33" s="135">
        <v>6</v>
      </c>
      <c r="B33" s="178">
        <v>45655</v>
      </c>
      <c r="C33" s="462" t="s">
        <v>255</v>
      </c>
      <c r="D33" s="108" t="s">
        <v>135</v>
      </c>
      <c r="E33" s="108">
        <v>400</v>
      </c>
      <c r="F33" s="108"/>
    </row>
    <row r="34" spans="1:6" ht="18.75">
      <c r="A34" s="135">
        <v>7</v>
      </c>
      <c r="B34" s="178">
        <v>45656</v>
      </c>
      <c r="C34" s="462" t="s">
        <v>256</v>
      </c>
      <c r="D34" s="108" t="s">
        <v>135</v>
      </c>
      <c r="E34" s="108">
        <v>400</v>
      </c>
      <c r="F34" s="108"/>
    </row>
    <row r="35" spans="1:6" ht="18.75">
      <c r="A35" s="135">
        <v>8</v>
      </c>
      <c r="B35" s="178">
        <v>45657</v>
      </c>
      <c r="C35" s="462" t="s">
        <v>257</v>
      </c>
      <c r="D35" s="108" t="s">
        <v>135</v>
      </c>
      <c r="E35" s="108">
        <v>500</v>
      </c>
      <c r="F35" s="108"/>
    </row>
    <row r="36" spans="1:6" ht="18.75">
      <c r="A36" s="135"/>
      <c r="B36" s="178"/>
      <c r="C36" s="32"/>
      <c r="D36" s="108"/>
      <c r="E36" s="108"/>
      <c r="F36" s="108"/>
    </row>
    <row r="37" spans="1:6">
      <c r="A37" s="124"/>
      <c r="B37" s="186"/>
      <c r="C37" s="188"/>
      <c r="D37" s="291" t="s">
        <v>23</v>
      </c>
      <c r="E37" s="292">
        <f>SUM(E28:E36)</f>
        <v>3060</v>
      </c>
      <c r="F37" s="108"/>
    </row>
    <row r="39" spans="1:6">
      <c r="A39" s="114"/>
      <c r="B39" s="179"/>
      <c r="C39" s="189"/>
      <c r="D39" s="114"/>
      <c r="E39" s="184"/>
      <c r="F39" s="114"/>
    </row>
    <row r="40" spans="1:6">
      <c r="A40" s="137" t="s">
        <v>78</v>
      </c>
      <c r="B40" s="180"/>
      <c r="C40" s="190"/>
      <c r="D40" s="47" t="s">
        <v>79</v>
      </c>
      <c r="F40" s="47" t="s">
        <v>80</v>
      </c>
    </row>
    <row r="41" spans="1:6">
      <c r="A41" s="138" t="s">
        <v>30</v>
      </c>
      <c r="B41" s="179"/>
      <c r="C41" s="189"/>
      <c r="D41" s="114" t="s">
        <v>81</v>
      </c>
      <c r="F41" s="114" t="s">
        <v>82</v>
      </c>
    </row>
    <row r="45" spans="1:6">
      <c r="C45" s="464" t="s">
        <v>258</v>
      </c>
      <c r="D45" s="463"/>
      <c r="E45" s="463"/>
      <c r="F45" s="463"/>
    </row>
    <row r="46" spans="1:6">
      <c r="C46" s="463"/>
      <c r="D46" s="463"/>
      <c r="E46" s="463"/>
      <c r="F46" s="463"/>
    </row>
    <row r="47" spans="1:6" ht="27" customHeight="1">
      <c r="C47" s="463"/>
      <c r="D47" s="463"/>
      <c r="E47" s="463"/>
      <c r="F47" s="463"/>
    </row>
  </sheetData>
  <mergeCells count="17">
    <mergeCell ref="A25:F25"/>
    <mergeCell ref="A26:B26"/>
    <mergeCell ref="C26:E26"/>
    <mergeCell ref="C45:F47"/>
    <mergeCell ref="A13:F13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4:F14"/>
    <mergeCell ref="A15:B15"/>
    <mergeCell ref="C15:E15"/>
  </mergeCells>
  <phoneticPr fontId="34" type="noConversion"/>
  <pageMargins left="0.7" right="0.7" top="0.75" bottom="0.75" header="0.3" footer="0.3"/>
  <pageSetup scale="97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>
      <c r="A1" s="410" t="s">
        <v>90</v>
      </c>
      <c r="B1" s="411"/>
      <c r="C1" s="411"/>
      <c r="D1" s="412"/>
      <c r="F1" s="402" t="s">
        <v>105</v>
      </c>
      <c r="G1" s="403"/>
      <c r="H1" s="403"/>
      <c r="I1" s="404"/>
    </row>
    <row r="2" spans="1:9" ht="18.75">
      <c r="A2" s="413" t="s">
        <v>91</v>
      </c>
      <c r="B2" s="406"/>
      <c r="C2" s="406"/>
      <c r="D2" s="414"/>
      <c r="F2" s="405" t="s">
        <v>91</v>
      </c>
      <c r="G2" s="406"/>
      <c r="H2" s="406"/>
      <c r="I2" s="407"/>
    </row>
    <row r="3" spans="1:9">
      <c r="A3" s="142"/>
      <c r="B3" s="143"/>
      <c r="D3" s="144"/>
      <c r="F3" s="156"/>
      <c r="I3" s="106"/>
    </row>
    <row r="4" spans="1:9">
      <c r="A4" s="145" t="s">
        <v>92</v>
      </c>
      <c r="B4" s="146" t="s">
        <v>36</v>
      </c>
      <c r="C4" s="145" t="s">
        <v>55</v>
      </c>
      <c r="D4" s="145" t="s">
        <v>93</v>
      </c>
      <c r="F4" s="164"/>
      <c r="G4" s="165"/>
      <c r="H4" s="165"/>
      <c r="I4" s="166"/>
    </row>
    <row r="5" spans="1:9">
      <c r="A5" s="111">
        <v>1</v>
      </c>
      <c r="B5" s="147"/>
      <c r="C5" s="148"/>
      <c r="D5" s="111"/>
      <c r="F5" s="156"/>
      <c r="I5" s="106"/>
    </row>
    <row r="6" spans="1:9">
      <c r="A6" s="111">
        <v>2</v>
      </c>
      <c r="B6" s="147"/>
      <c r="C6" s="148"/>
      <c r="D6" s="111"/>
      <c r="F6" s="157" t="s">
        <v>92</v>
      </c>
      <c r="G6" s="145" t="s">
        <v>36</v>
      </c>
      <c r="H6" s="145" t="s">
        <v>55</v>
      </c>
      <c r="I6" s="158" t="s">
        <v>93</v>
      </c>
    </row>
    <row r="7" spans="1:9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>
      <c r="A12" s="111">
        <v>7</v>
      </c>
      <c r="B12" s="147"/>
      <c r="C12" s="111"/>
      <c r="D12" s="111"/>
      <c r="F12" s="408" t="s">
        <v>23</v>
      </c>
      <c r="G12" s="409"/>
      <c r="H12" s="409"/>
      <c r="I12" s="112"/>
    </row>
    <row r="13" spans="1:9" ht="21">
      <c r="A13" s="415" t="s">
        <v>23</v>
      </c>
      <c r="B13" s="409"/>
      <c r="C13" s="409"/>
      <c r="D13" s="111">
        <f>SUM(D5:D12)</f>
        <v>0</v>
      </c>
      <c r="F13" s="156"/>
      <c r="I13" s="106"/>
    </row>
    <row r="14" spans="1:9">
      <c r="A14" s="142"/>
      <c r="B14" s="143"/>
      <c r="D14" s="144"/>
      <c r="F14" s="156"/>
      <c r="I14" s="106"/>
    </row>
    <row r="15" spans="1:9">
      <c r="A15" s="142"/>
      <c r="B15" s="149" t="s">
        <v>94</v>
      </c>
      <c r="C15" t="s">
        <v>95</v>
      </c>
      <c r="D15" s="144"/>
      <c r="F15" s="116"/>
      <c r="I15" s="106"/>
    </row>
    <row r="16" spans="1:9">
      <c r="A16" s="150" t="s">
        <v>96</v>
      </c>
      <c r="B16" s="143" t="s">
        <v>97</v>
      </c>
      <c r="D16" s="144"/>
      <c r="F16" s="156"/>
      <c r="I16" s="106"/>
    </row>
    <row r="17" spans="1:9">
      <c r="A17" s="142" t="s">
        <v>98</v>
      </c>
      <c r="B17" s="151" t="s">
        <v>99</v>
      </c>
      <c r="D17" s="144"/>
      <c r="F17" s="156"/>
      <c r="I17" s="106"/>
    </row>
    <row r="18" spans="1:9">
      <c r="A18" s="142"/>
      <c r="B18" s="143"/>
      <c r="D18" s="144"/>
      <c r="F18" s="116" t="s">
        <v>106</v>
      </c>
      <c r="H18" t="s">
        <v>107</v>
      </c>
      <c r="I18" s="106"/>
    </row>
    <row r="19" spans="1:9">
      <c r="A19" s="142"/>
      <c r="B19" s="143"/>
      <c r="D19" s="144"/>
      <c r="F19" s="156"/>
      <c r="I19" s="106"/>
    </row>
    <row r="20" spans="1:9">
      <c r="A20" s="150" t="s">
        <v>100</v>
      </c>
      <c r="B20" s="137"/>
      <c r="C20" s="47" t="s">
        <v>31</v>
      </c>
      <c r="D20" s="144"/>
      <c r="F20" s="156"/>
      <c r="I20" s="106"/>
    </row>
    <row r="21" spans="1:9">
      <c r="A21" s="152"/>
      <c r="B21" s="153"/>
      <c r="C21" s="154"/>
      <c r="D21" s="155"/>
      <c r="F21" s="156"/>
      <c r="I21" s="106"/>
    </row>
    <row r="22" spans="1:9" ht="15.75" thickBot="1">
      <c r="A22" s="47"/>
      <c r="B22" s="143"/>
      <c r="F22" s="116" t="s">
        <v>100</v>
      </c>
      <c r="H22" s="47" t="s">
        <v>31</v>
      </c>
      <c r="I22" s="106"/>
    </row>
    <row r="23" spans="1:9" ht="24" thickBot="1">
      <c r="A23" s="402" t="s">
        <v>90</v>
      </c>
      <c r="B23" s="403"/>
      <c r="C23" s="403"/>
      <c r="D23" s="404"/>
      <c r="F23" s="162"/>
      <c r="G23" s="129"/>
      <c r="H23" s="129"/>
      <c r="I23" s="130"/>
    </row>
    <row r="24" spans="1:9" ht="18.75">
      <c r="A24" s="405" t="s">
        <v>91</v>
      </c>
      <c r="B24" s="406"/>
      <c r="C24" s="406"/>
      <c r="D24" s="407"/>
    </row>
    <row r="25" spans="1:9">
      <c r="A25" s="156"/>
      <c r="B25" s="143"/>
      <c r="D25" s="106"/>
    </row>
    <row r="26" spans="1:9">
      <c r="A26" s="157" t="s">
        <v>92</v>
      </c>
      <c r="B26" s="146" t="s">
        <v>36</v>
      </c>
      <c r="C26" s="145" t="s">
        <v>55</v>
      </c>
      <c r="D26" s="158" t="s">
        <v>93</v>
      </c>
    </row>
    <row r="27" spans="1:9">
      <c r="A27" s="110">
        <v>1</v>
      </c>
      <c r="B27" s="147">
        <v>44927</v>
      </c>
      <c r="C27" s="159" t="s">
        <v>101</v>
      </c>
      <c r="D27" s="112">
        <v>200</v>
      </c>
    </row>
    <row r="28" spans="1:9">
      <c r="A28" s="110">
        <v>2</v>
      </c>
      <c r="B28" s="147"/>
      <c r="C28" s="160"/>
      <c r="D28" s="112"/>
    </row>
    <row r="29" spans="1:9">
      <c r="A29" s="110">
        <v>3</v>
      </c>
      <c r="B29" s="147"/>
      <c r="C29" s="160"/>
      <c r="D29" s="112"/>
    </row>
    <row r="30" spans="1:9">
      <c r="A30" s="110">
        <v>4</v>
      </c>
      <c r="B30" s="147"/>
      <c r="C30" s="160"/>
      <c r="D30" s="112"/>
    </row>
    <row r="31" spans="1:9">
      <c r="A31" s="110">
        <v>5</v>
      </c>
      <c r="B31" s="147"/>
      <c r="C31" s="111"/>
      <c r="D31" s="112"/>
    </row>
    <row r="32" spans="1:9">
      <c r="A32" s="110">
        <v>6</v>
      </c>
      <c r="B32" s="147"/>
      <c r="C32" s="111"/>
      <c r="D32" s="112"/>
    </row>
    <row r="33" spans="1:4">
      <c r="A33" s="110">
        <v>7</v>
      </c>
      <c r="B33" s="147"/>
      <c r="C33" s="111"/>
      <c r="D33" s="112"/>
    </row>
    <row r="34" spans="1:4" ht="21">
      <c r="A34" s="408" t="s">
        <v>23</v>
      </c>
      <c r="B34" s="409"/>
      <c r="C34" s="409"/>
      <c r="D34" s="112">
        <f>SUM(D27:D33)</f>
        <v>200</v>
      </c>
    </row>
    <row r="35" spans="1:4">
      <c r="A35" s="156"/>
      <c r="B35" s="143"/>
      <c r="D35" s="106"/>
    </row>
    <row r="36" spans="1:4">
      <c r="A36" s="400"/>
      <c r="B36" s="341"/>
      <c r="C36" s="341"/>
      <c r="D36" s="401"/>
    </row>
    <row r="37" spans="1:4">
      <c r="A37" s="116"/>
      <c r="B37" s="161"/>
      <c r="C37" s="151"/>
      <c r="D37" s="106"/>
    </row>
    <row r="38" spans="1:4">
      <c r="A38" s="156" t="s">
        <v>102</v>
      </c>
      <c r="B38" s="143" t="s">
        <v>103</v>
      </c>
      <c r="D38" s="106"/>
    </row>
    <row r="39" spans="1:4">
      <c r="A39" s="116" t="s">
        <v>98</v>
      </c>
      <c r="B39" s="143" t="s">
        <v>104</v>
      </c>
      <c r="D39" s="106"/>
    </row>
    <row r="40" spans="1:4">
      <c r="A40" s="156"/>
      <c r="B40" s="143"/>
      <c r="D40" s="106"/>
    </row>
    <row r="41" spans="1:4">
      <c r="A41" s="156"/>
      <c r="B41" s="143"/>
      <c r="D41" s="106"/>
    </row>
    <row r="42" spans="1:4">
      <c r="A42" s="156"/>
      <c r="B42" s="143"/>
      <c r="D42" s="106"/>
    </row>
    <row r="43" spans="1:4">
      <c r="A43" s="156"/>
      <c r="B43" s="143"/>
      <c r="D43" s="106"/>
    </row>
    <row r="44" spans="1:4">
      <c r="A44" s="156"/>
      <c r="B44" s="143"/>
      <c r="D44" s="106"/>
    </row>
    <row r="45" spans="1:4">
      <c r="A45" s="116" t="s">
        <v>100</v>
      </c>
      <c r="B45" s="143"/>
      <c r="C45" s="47" t="s">
        <v>31</v>
      </c>
      <c r="D45" s="106"/>
    </row>
    <row r="46" spans="1:4" ht="15.75" thickBot="1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>
      <c r="A1" s="402" t="s">
        <v>108</v>
      </c>
      <c r="B1" s="403"/>
      <c r="C1" s="403"/>
      <c r="D1" s="403"/>
      <c r="E1" s="403"/>
      <c r="F1" s="404"/>
      <c r="H1" s="402" t="s">
        <v>112</v>
      </c>
      <c r="I1" s="403"/>
      <c r="J1" s="403"/>
      <c r="K1" s="403"/>
      <c r="L1" s="403"/>
      <c r="M1" s="404"/>
    </row>
    <row r="2" spans="1:13" ht="18.75">
      <c r="A2" s="405" t="s">
        <v>91</v>
      </c>
      <c r="B2" s="406"/>
      <c r="C2" s="406"/>
      <c r="D2" s="406"/>
      <c r="E2" s="406"/>
      <c r="F2" s="407"/>
      <c r="H2" s="405" t="s">
        <v>91</v>
      </c>
      <c r="I2" s="406"/>
      <c r="J2" s="406"/>
      <c r="K2" s="406"/>
      <c r="L2" s="406"/>
      <c r="M2" s="407"/>
    </row>
    <row r="3" spans="1:13">
      <c r="A3" s="156"/>
      <c r="B3" s="143"/>
      <c r="F3" s="106"/>
      <c r="H3" s="105"/>
      <c r="M3" s="106"/>
    </row>
    <row r="4" spans="1:13">
      <c r="A4" s="164"/>
      <c r="B4" s="173"/>
      <c r="C4" s="165"/>
      <c r="D4" s="165"/>
      <c r="E4" s="165"/>
      <c r="F4" s="166"/>
      <c r="H4" s="157" t="s">
        <v>92</v>
      </c>
      <c r="I4" s="146" t="s">
        <v>36</v>
      </c>
      <c r="J4" s="145" t="s">
        <v>109</v>
      </c>
      <c r="K4" s="145" t="s">
        <v>110</v>
      </c>
      <c r="L4" s="168" t="s">
        <v>55</v>
      </c>
      <c r="M4" s="158" t="s">
        <v>93</v>
      </c>
    </row>
    <row r="5" spans="1:13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>
      <c r="A6" s="157" t="s">
        <v>92</v>
      </c>
      <c r="B6" s="146" t="s">
        <v>36</v>
      </c>
      <c r="C6" s="145" t="s">
        <v>109</v>
      </c>
      <c r="D6" s="145" t="s">
        <v>110</v>
      </c>
      <c r="E6" s="168" t="s">
        <v>55</v>
      </c>
      <c r="F6" s="158" t="s">
        <v>93</v>
      </c>
      <c r="H6" s="110">
        <v>2</v>
      </c>
      <c r="I6" s="147"/>
      <c r="J6" s="111"/>
      <c r="K6" s="111"/>
      <c r="L6" s="136"/>
      <c r="M6" s="112"/>
    </row>
    <row r="7" spans="1:13" ht="21">
      <c r="A7" s="110">
        <v>1</v>
      </c>
      <c r="B7" s="147"/>
      <c r="C7" s="111"/>
      <c r="D7" s="111"/>
      <c r="E7" s="169"/>
      <c r="F7" s="112"/>
      <c r="H7" s="408" t="s">
        <v>23</v>
      </c>
      <c r="I7" s="409"/>
      <c r="J7" s="409"/>
      <c r="K7" s="409"/>
      <c r="L7" s="416"/>
      <c r="M7" s="112"/>
    </row>
    <row r="8" spans="1:13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>
      <c r="A9" s="408" t="s">
        <v>23</v>
      </c>
      <c r="B9" s="409"/>
      <c r="C9" s="409"/>
      <c r="D9" s="409"/>
      <c r="E9" s="416"/>
      <c r="F9" s="112"/>
      <c r="H9" s="105"/>
      <c r="M9" s="106"/>
    </row>
    <row r="10" spans="1:13">
      <c r="A10" s="156"/>
      <c r="B10" s="143"/>
      <c r="F10" s="106"/>
      <c r="H10" s="105"/>
      <c r="M10" s="106"/>
    </row>
    <row r="11" spans="1:13">
      <c r="A11" s="116"/>
      <c r="B11" s="143"/>
      <c r="F11" s="106"/>
      <c r="H11" s="156"/>
      <c r="I11" s="143"/>
      <c r="M11" s="106"/>
    </row>
    <row r="12" spans="1:13">
      <c r="A12" s="156"/>
      <c r="B12" s="143"/>
      <c r="F12" s="106"/>
      <c r="H12" s="156"/>
      <c r="I12" s="143"/>
      <c r="M12" s="106"/>
    </row>
    <row r="13" spans="1:13">
      <c r="A13" s="156"/>
      <c r="B13" s="143"/>
      <c r="F13" s="106"/>
      <c r="H13" s="156"/>
      <c r="I13" s="143"/>
      <c r="M13" s="106"/>
    </row>
    <row r="14" spans="1:13">
      <c r="A14" s="156"/>
      <c r="B14" s="170" t="s">
        <v>111</v>
      </c>
      <c r="C14" s="47"/>
      <c r="D14" s="171" t="s">
        <v>100</v>
      </c>
      <c r="E14" s="47"/>
      <c r="F14" s="172" t="s">
        <v>31</v>
      </c>
      <c r="H14" s="174" t="s">
        <v>111</v>
      </c>
      <c r="I14" s="47"/>
      <c r="J14" s="171" t="s">
        <v>100</v>
      </c>
      <c r="K14" s="47"/>
      <c r="M14" s="172" t="s">
        <v>31</v>
      </c>
    </row>
    <row r="15" spans="1:13" ht="15.75" thickBot="1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>
      <c r="A16" s="156"/>
      <c r="B16" s="143"/>
      <c r="H16" s="47"/>
      <c r="I16" s="143"/>
    </row>
    <row r="17" spans="8:12">
      <c r="H17" s="137"/>
      <c r="I17" s="143"/>
    </row>
    <row r="18" spans="8:12">
      <c r="H18" s="47"/>
      <c r="I18" s="143"/>
    </row>
    <row r="19" spans="8:12">
      <c r="H19" s="47"/>
      <c r="I19" s="143"/>
    </row>
    <row r="20" spans="8:12">
      <c r="H20" s="47"/>
      <c r="I20" s="143"/>
    </row>
    <row r="21" spans="8:12">
      <c r="H21" s="137"/>
      <c r="I21" s="143"/>
      <c r="K21" s="47"/>
      <c r="L21" s="47"/>
    </row>
    <row r="22" spans="8:12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2025-01-04T09:47:52Z</cp:lastPrinted>
  <dcterms:created xsi:type="dcterms:W3CDTF">2023-01-08T05:51:58Z</dcterms:created>
  <dcterms:modified xsi:type="dcterms:W3CDTF">2025-01-04T09:52:59Z</dcterms:modified>
</cp:coreProperties>
</file>